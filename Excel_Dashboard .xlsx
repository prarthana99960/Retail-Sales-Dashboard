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8.xml" ContentType="application/vnd.openxmlformats-officedocument.drawing+xml"/>
  <Override PartName="/xl/tables/table1.xml" ContentType="application/vnd.openxmlformats-officedocument.spreadsheetml.table+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anura\Downloads\"/>
    </mc:Choice>
  </mc:AlternateContent>
  <xr:revisionPtr revIDLastSave="0" documentId="8_{9C9E4A9E-D780-4AC0-B84B-86D991C1A097}" xr6:coauthVersionLast="47" xr6:coauthVersionMax="47" xr10:uidLastSave="{00000000-0000-0000-0000-000000000000}"/>
  <bookViews>
    <workbookView xWindow="-108" yWindow="-108" windowWidth="23256" windowHeight="12456" tabRatio="804" xr2:uid="{00000000-000D-0000-FFFF-FFFF00000000}"/>
  </bookViews>
  <sheets>
    <sheet name="dashboard" sheetId="7" r:id="rId1"/>
    <sheet name="Sheet14" sheetId="15" r:id="rId2"/>
    <sheet name="Sheet5" sheetId="6" r:id="rId3"/>
    <sheet name="Sheet8" sheetId="9" r:id="rId4"/>
    <sheet name="Sheet9" sheetId="10" r:id="rId5"/>
    <sheet name="Sheet12" sheetId="13" r:id="rId6"/>
    <sheet name="Sheet10" sheetId="11" r:id="rId7"/>
    <sheet name="Sheet11" sheetId="12" r:id="rId8"/>
    <sheet name="Sheet13" sheetId="14" r:id="rId9"/>
    <sheet name="Sales_Data" sheetId="1" r:id="rId10"/>
  </sheets>
  <definedNames>
    <definedName name="_xlnm._FilterDatabase" localSheetId="9" hidden="1">Sales_Data!$Q$1:$R$2</definedName>
    <definedName name="Slicer_Category">#N/A</definedName>
    <definedName name="Slicer_Category1">#N/A</definedName>
    <definedName name="Slicer_Customer_Segment">#N/A</definedName>
    <definedName name="Slicer_Customer_Segment1">#N/A</definedName>
    <definedName name="Slicer_Region">#N/A</definedName>
    <definedName name="Slicer_Region1">#N/A</definedName>
  </definedNames>
  <calcPr calcId="191029"/>
  <pivotCaches>
    <pivotCache cacheId="0" r:id="rId11"/>
    <pivotCache cacheId="1"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6"/>
        <x14:slicerCache r:id="rId17"/>
        <x14:slicerCache r:id="rId18"/>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R2" i="1" l="1"/>
  <c r="Q2"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Q9" i="1"/>
  <c r="O3" i="1"/>
  <c r="O2"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alcChain>
</file>

<file path=xl/sharedStrings.xml><?xml version="1.0" encoding="utf-8"?>
<sst xmlns="http://schemas.openxmlformats.org/spreadsheetml/2006/main" count="2159" uniqueCount="207">
  <si>
    <t>Order_ID</t>
  </si>
  <si>
    <t>Order_Date</t>
  </si>
  <si>
    <t>Ship_Date</t>
  </si>
  <si>
    <t>Region</t>
  </si>
  <si>
    <t>State</t>
  </si>
  <si>
    <t>City</t>
  </si>
  <si>
    <t>Customer_Segment</t>
  </si>
  <si>
    <t>Category</t>
  </si>
  <si>
    <t>Sub_Category</t>
  </si>
  <si>
    <t>Sales</t>
  </si>
  <si>
    <t>Quantity</t>
  </si>
  <si>
    <t>Discount</t>
  </si>
  <si>
    <t>Profit</t>
  </si>
  <si>
    <t>2024-03-20</t>
  </si>
  <si>
    <t>South</t>
  </si>
  <si>
    <t>Tamil Nadu</t>
  </si>
  <si>
    <t>Chennai</t>
  </si>
  <si>
    <t>Home Office</t>
  </si>
  <si>
    <t>Office Supplies</t>
  </si>
  <si>
    <t>Pen</t>
  </si>
  <si>
    <t>2024-06-28</t>
  </si>
  <si>
    <t>2024-06-30</t>
  </si>
  <si>
    <t>Electronics</t>
  </si>
  <si>
    <t>Headphones</t>
  </si>
  <si>
    <t>2024-06-02</t>
  </si>
  <si>
    <t>2024-06-08</t>
  </si>
  <si>
    <t>West</t>
  </si>
  <si>
    <t>Gujarat</t>
  </si>
  <si>
    <t>Ahmedabad</t>
  </si>
  <si>
    <t>2024-02-16</t>
  </si>
  <si>
    <t>Corporate</t>
  </si>
  <si>
    <t>2024-04-16</t>
  </si>
  <si>
    <t>2024-04-19</t>
  </si>
  <si>
    <t>East</t>
  </si>
  <si>
    <t>Odisha</t>
  </si>
  <si>
    <t>Bhubaneswar</t>
  </si>
  <si>
    <t>Laptop</t>
  </si>
  <si>
    <t>2024-05-09</t>
  </si>
  <si>
    <t>2024-05-10</t>
  </si>
  <si>
    <t>File</t>
  </si>
  <si>
    <t>2024-03-04</t>
  </si>
  <si>
    <t>2024-03-06</t>
  </si>
  <si>
    <t>Karnataka</t>
  </si>
  <si>
    <t>Bangalore</t>
  </si>
  <si>
    <t>Furniture</t>
  </si>
  <si>
    <t>Sofa</t>
  </si>
  <si>
    <t>2024-03-27</t>
  </si>
  <si>
    <t>Chair</t>
  </si>
  <si>
    <t>2024-04-20</t>
  </si>
  <si>
    <t>North</t>
  </si>
  <si>
    <t>Delhi</t>
  </si>
  <si>
    <t>Consumer</t>
  </si>
  <si>
    <t>2024-05-30</t>
  </si>
  <si>
    <t>2024-06-03</t>
  </si>
  <si>
    <t>2024-06-19</t>
  </si>
  <si>
    <t>2024-06-22</t>
  </si>
  <si>
    <t>West Bengal</t>
  </si>
  <si>
    <t>Kolkata</t>
  </si>
  <si>
    <t>2024-03-18</t>
  </si>
  <si>
    <t>2024-03-19</t>
  </si>
  <si>
    <t>2024-01-08</t>
  </si>
  <si>
    <t>2024-01-09</t>
  </si>
  <si>
    <t>2024-05-02</t>
  </si>
  <si>
    <t>2024-05-08</t>
  </si>
  <si>
    <t>2024-05-06</t>
  </si>
  <si>
    <t>2024-04-17</t>
  </si>
  <si>
    <t>UP</t>
  </si>
  <si>
    <t>Noida</t>
  </si>
  <si>
    <t>Mobile</t>
  </si>
  <si>
    <t>2024-04-29</t>
  </si>
  <si>
    <t>Maharashtra</t>
  </si>
  <si>
    <t>Mumbai</t>
  </si>
  <si>
    <t>2024-04-01</t>
  </si>
  <si>
    <t>2024-04-08</t>
  </si>
  <si>
    <t>2024-04-15</t>
  </si>
  <si>
    <t>2024-06-04</t>
  </si>
  <si>
    <t>2024-06-06</t>
  </si>
  <si>
    <t>2024-01-15</t>
  </si>
  <si>
    <t>2024-01-16</t>
  </si>
  <si>
    <t>2024-06-20</t>
  </si>
  <si>
    <t>2024-06-27</t>
  </si>
  <si>
    <t>2024-06-25</t>
  </si>
  <si>
    <t>2024-02-04</t>
  </si>
  <si>
    <t>Paper</t>
  </si>
  <si>
    <t>2024-01-25</t>
  </si>
  <si>
    <t>2024-01-30</t>
  </si>
  <si>
    <t>2024-05-24</t>
  </si>
  <si>
    <t>Table</t>
  </si>
  <si>
    <t>2024-01-11</t>
  </si>
  <si>
    <t>2024-01-14</t>
  </si>
  <si>
    <t>2024-02-17</t>
  </si>
  <si>
    <t>2024-02-23</t>
  </si>
  <si>
    <t>2024-02-21</t>
  </si>
  <si>
    <t>2024-02-25</t>
  </si>
  <si>
    <t>2024-01-29</t>
  </si>
  <si>
    <t>2024-03-31</t>
  </si>
  <si>
    <t>2024-03-10</t>
  </si>
  <si>
    <t>2024-06-09</t>
  </si>
  <si>
    <t>2024-06-12</t>
  </si>
  <si>
    <t>2024-03-28</t>
  </si>
  <si>
    <t>2024-03-24</t>
  </si>
  <si>
    <t>2024-01-24</t>
  </si>
  <si>
    <t>2024-03-03</t>
  </si>
  <si>
    <t>2024-03-07</t>
  </si>
  <si>
    <t>2024-03-30</t>
  </si>
  <si>
    <t>2024-04-05</t>
  </si>
  <si>
    <t>2024-05-17</t>
  </si>
  <si>
    <t>2024-02-20</t>
  </si>
  <si>
    <t>2024-04-04</t>
  </si>
  <si>
    <t>2024-04-09</t>
  </si>
  <si>
    <t>2024-04-24</t>
  </si>
  <si>
    <t>2024-02-22</t>
  </si>
  <si>
    <t>2024-01-21</t>
  </si>
  <si>
    <t>2024-04-03</t>
  </si>
  <si>
    <t>2024-06-23</t>
  </si>
  <si>
    <t>2024-04-11</t>
  </si>
  <si>
    <t>2024-06-01</t>
  </si>
  <si>
    <t>2024-05-22</t>
  </si>
  <si>
    <t>2024-05-29</t>
  </si>
  <si>
    <t>2024-02-06</t>
  </si>
  <si>
    <t>2024-06-10</t>
  </si>
  <si>
    <t>2024-04-06</t>
  </si>
  <si>
    <t>2024-03-17</t>
  </si>
  <si>
    <t>2024-02-24</t>
  </si>
  <si>
    <t>2024-03-22</t>
  </si>
  <si>
    <t>2024-04-25</t>
  </si>
  <si>
    <t>2024-06-24</t>
  </si>
  <si>
    <t>2024-06-26</t>
  </si>
  <si>
    <t>2024-04-22</t>
  </si>
  <si>
    <t>2024-04-26</t>
  </si>
  <si>
    <t>2024-06-07</t>
  </si>
  <si>
    <t>2024-02-09</t>
  </si>
  <si>
    <t>2024-01-06</t>
  </si>
  <si>
    <t>2024-02-08</t>
  </si>
  <si>
    <t>2024-05-04</t>
  </si>
  <si>
    <t>2024-05-11</t>
  </si>
  <si>
    <t>2024-01-23</t>
  </si>
  <si>
    <t>2024-01-12</t>
  </si>
  <si>
    <t>2024-01-31</t>
  </si>
  <si>
    <t>2024-05-01</t>
  </si>
  <si>
    <t>2024-02-18</t>
  </si>
  <si>
    <t>2024-02-14</t>
  </si>
  <si>
    <t>2024-05-25</t>
  </si>
  <si>
    <t>2024-05-03</t>
  </si>
  <si>
    <t>2024-04-23</t>
  </si>
  <si>
    <t>2024-05-15</t>
  </si>
  <si>
    <t>2024-06-14</t>
  </si>
  <si>
    <t>2024-06-18</t>
  </si>
  <si>
    <t>2024-04-07</t>
  </si>
  <si>
    <t>2024-03-05</t>
  </si>
  <si>
    <t>2024-05-12</t>
  </si>
  <si>
    <t>2024-03-21</t>
  </si>
  <si>
    <t>2024-02-11</t>
  </si>
  <si>
    <t>2024-02-10</t>
  </si>
  <si>
    <t>2024-02-15</t>
  </si>
  <si>
    <t>2024-02-02</t>
  </si>
  <si>
    <t>2024-05-27</t>
  </si>
  <si>
    <t>2024-04-28</t>
  </si>
  <si>
    <t>2024-03-09</t>
  </si>
  <si>
    <t>2024-01-04</t>
  </si>
  <si>
    <t>2024-01-07</t>
  </si>
  <si>
    <t>2024-04-21</t>
  </si>
  <si>
    <t>2024-05-13</t>
  </si>
  <si>
    <t>2024-04-18</t>
  </si>
  <si>
    <t>2024-01-13</t>
  </si>
  <si>
    <t>2024-01-18</t>
  </si>
  <si>
    <t>2024-02-19</t>
  </si>
  <si>
    <t>2024-01-26</t>
  </si>
  <si>
    <t>2024-06-13</t>
  </si>
  <si>
    <t>2024-06-05</t>
  </si>
  <si>
    <t>2024-04-12</t>
  </si>
  <si>
    <t>2024-01-28</t>
  </si>
  <si>
    <t>2024-05-20</t>
  </si>
  <si>
    <t>2024-01-17</t>
  </si>
  <si>
    <t>2024-01-19</t>
  </si>
  <si>
    <t>2024-05-21</t>
  </si>
  <si>
    <t>2024-05-26</t>
  </si>
  <si>
    <t>2024-04-30</t>
  </si>
  <si>
    <t>2024-03-26</t>
  </si>
  <si>
    <t>2024-05-14</t>
  </si>
  <si>
    <t>2024-01-22</t>
  </si>
  <si>
    <t>2024-03-23</t>
  </si>
  <si>
    <t>2024-02-27</t>
  </si>
  <si>
    <t>2024-02-07</t>
  </si>
  <si>
    <t>2024-02-28</t>
  </si>
  <si>
    <t>2024-05-07</t>
  </si>
  <si>
    <t>2024-03-12</t>
  </si>
  <si>
    <t>2024-07-02</t>
  </si>
  <si>
    <t>2024-03-16</t>
  </si>
  <si>
    <t>2024-07-05</t>
  </si>
  <si>
    <t>Row Labels</t>
  </si>
  <si>
    <t>Grand Total</t>
  </si>
  <si>
    <t>Sum of Profit</t>
  </si>
  <si>
    <t>Month</t>
  </si>
  <si>
    <t>Year</t>
  </si>
  <si>
    <t>Jan</t>
  </si>
  <si>
    <t>Feb</t>
  </si>
  <si>
    <t>Mar</t>
  </si>
  <si>
    <t>Apr</t>
  </si>
  <si>
    <t>May</t>
  </si>
  <si>
    <t>Jun</t>
  </si>
  <si>
    <t>Sum of Sales</t>
  </si>
  <si>
    <t>EliteKart Retail Sales Dashboard</t>
  </si>
  <si>
    <t>TOTAL SALES</t>
  </si>
  <si>
    <t>TOTAL QUANTITY</t>
  </si>
  <si>
    <t>TOTAL PROFIT</t>
  </si>
  <si>
    <t>Sum of TOTAL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</si>
</sst>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0"/>
      <name val="Calibri"/>
      <family val="2"/>
      <scheme val="minor"/>
    </font>
    <font>
      <sz val="36"/>
      <color theme="1"/>
      <name val="Arial Black"/>
      <family val="2"/>
    </font>
    <font>
      <sz val="36"/>
      <color theme="0"/>
      <name val="Arial Black"/>
      <family val="2"/>
    </font>
    <font>
      <u/>
      <sz val="36"/>
      <color theme="0"/>
      <name val="Arial Black"/>
      <family val="2"/>
    </font>
  </fonts>
  <fills count="5">
    <fill>
      <patternFill patternType="none"/>
    </fill>
    <fill>
      <patternFill patternType="gray125"/>
    </fill>
    <fill>
      <patternFill patternType="solid">
        <fgColor theme="7" tint="0.59999389629810485"/>
        <bgColor theme="7" tint="0.59999389629810485"/>
      </patternFill>
    </fill>
    <fill>
      <patternFill patternType="solid">
        <fgColor theme="7" tint="0.79998168889431442"/>
        <bgColor theme="7" tint="0.79998168889431442"/>
      </patternFill>
    </fill>
    <fill>
      <patternFill patternType="solid">
        <fgColor theme="1" tint="4.9989318521683403E-2"/>
        <bgColor indexed="64"/>
      </patternFill>
    </fill>
  </fills>
  <borders count="3">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s>
  <cellStyleXfs count="1">
    <xf numFmtId="0" fontId="0" fillId="0" borderId="0"/>
  </cellStyleXfs>
  <cellXfs count="12">
    <xf numFmtId="0" fontId="0" fillId="0" borderId="0" xfId="0"/>
    <xf numFmtId="0" fontId="0" fillId="2" borderId="1" xfId="0" applyFont="1" applyFill="1" applyBorder="1"/>
    <xf numFmtId="0" fontId="0" fillId="3" borderId="2" xfId="0" applyFont="1" applyFill="1" applyBorder="1"/>
    <xf numFmtId="0" fontId="0" fillId="0" borderId="0" xfId="0" applyNumberFormat="1"/>
    <xf numFmtId="0" fontId="0" fillId="0" borderId="0" xfId="0" pivotButton="1"/>
    <xf numFmtId="0" fontId="0" fillId="0" borderId="0" xfId="0" applyAlignment="1">
      <alignment horizontal="left"/>
    </xf>
    <xf numFmtId="14" fontId="0" fillId="0" borderId="0" xfId="0" applyNumberFormat="1"/>
    <xf numFmtId="0" fontId="2" fillId="4" borderId="0" xfId="0" applyFont="1" applyFill="1"/>
    <xf numFmtId="0" fontId="0" fillId="4" borderId="0" xfId="0" applyFill="1"/>
    <xf numFmtId="0" fontId="1" fillId="4" borderId="0" xfId="0" applyFont="1" applyFill="1"/>
    <xf numFmtId="0" fontId="3" fillId="4" borderId="0" xfId="0" applyFont="1" applyFill="1"/>
    <xf numFmtId="0" fontId="4" fillId="4" borderId="0" xfId="0" applyFont="1" applyFill="1"/>
  </cellXfs>
  <cellStyles count="1">
    <cellStyle name="Normal" xfId="0" builtinId="0"/>
  </cellStyles>
  <dxfs count="3">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07/relationships/slicerCache" Target="slicerCaches/slicerCache6.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[Excel_Dashboard .xlsx]Sheet8!PivotTable5</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36467825049786"/>
          <c:y val="0.21905273341014689"/>
          <c:w val="0.68660294011485123"/>
          <c:h val="0.55151723436936917"/>
        </c:manualLayout>
      </c:layout>
      <c:barChart>
        <c:barDir val="col"/>
        <c:grouping val="stacked"/>
        <c:varyColors val="0"/>
        <c:ser>
          <c:idx val="0"/>
          <c:order val="0"/>
          <c:tx>
            <c:strRef>
              <c:f>Sheet8!$B$3</c:f>
              <c:strCache>
                <c:ptCount val="1"/>
                <c:pt idx="0">
                  <c:v>Total</c:v>
                </c:pt>
              </c:strCache>
            </c:strRef>
          </c:tx>
          <c:spPr>
            <a:solidFill>
              <a:schemeClr val="accent6">
                <a:alpha val="70000"/>
              </a:schemeClr>
            </a:solidFill>
            <a:ln>
              <a:noFill/>
            </a:ln>
            <a:effectLst/>
          </c:spPr>
          <c:invertIfNegative val="0"/>
          <c:cat>
            <c:strRef>
              <c:f>Sheet8!$A$4:$A$8</c:f>
              <c:strCache>
                <c:ptCount val="4"/>
                <c:pt idx="0">
                  <c:v>East</c:v>
                </c:pt>
                <c:pt idx="1">
                  <c:v>North</c:v>
                </c:pt>
                <c:pt idx="2">
                  <c:v>South</c:v>
                </c:pt>
                <c:pt idx="3">
                  <c:v>West</c:v>
                </c:pt>
              </c:strCache>
            </c:strRef>
          </c:cat>
          <c:val>
            <c:numRef>
              <c:f>Sheet8!$B$4:$B$8</c:f>
              <c:numCache>
                <c:formatCode>General</c:formatCode>
                <c:ptCount val="4"/>
                <c:pt idx="0">
                  <c:v>2845581</c:v>
                </c:pt>
                <c:pt idx="1">
                  <c:v>2933278</c:v>
                </c:pt>
                <c:pt idx="2">
                  <c:v>3011150</c:v>
                </c:pt>
                <c:pt idx="3">
                  <c:v>3331341</c:v>
                </c:pt>
              </c:numCache>
            </c:numRef>
          </c:val>
          <c:extLst>
            <c:ext xmlns:c16="http://schemas.microsoft.com/office/drawing/2014/chart" uri="{C3380CC4-5D6E-409C-BE32-E72D297353CC}">
              <c16:uniqueId val="{00000000-2C73-4C85-B11A-18BF51CCB9DE}"/>
            </c:ext>
          </c:extLst>
        </c:ser>
        <c:dLbls>
          <c:showLegendKey val="0"/>
          <c:showVal val="0"/>
          <c:showCatName val="0"/>
          <c:showSerName val="0"/>
          <c:showPercent val="0"/>
          <c:showBubbleSize val="0"/>
        </c:dLbls>
        <c:gapWidth val="50"/>
        <c:overlap val="100"/>
        <c:axId val="1139762863"/>
        <c:axId val="1139763823"/>
      </c:barChart>
      <c:catAx>
        <c:axId val="1139762863"/>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1139763823"/>
        <c:crosses val="autoZero"/>
        <c:auto val="1"/>
        <c:lblAlgn val="ctr"/>
        <c:lblOffset val="100"/>
        <c:noMultiLvlLbl val="0"/>
      </c:catAx>
      <c:valAx>
        <c:axId val="1139763823"/>
        <c:scaling>
          <c:orientation val="minMax"/>
        </c:scaling>
        <c:delete val="0"/>
        <c:axPos val="l"/>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a:softEdge rad="25400"/>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1139762863"/>
        <c:crosses val="autoZero"/>
        <c:crossBetween val="between"/>
      </c:valAx>
      <c:spPr>
        <a:noFill/>
        <a:ln>
          <a:noFill/>
        </a:ln>
        <a:effectLst/>
      </c:spPr>
    </c:plotArea>
    <c:legend>
      <c:legendPos val="r"/>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[Excel_Dashboard .xlsx]Sheet9!PivotTable6</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5">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
        <c:spPr>
          <a:solidFill>
            <a:schemeClr val="accent5">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Sheet9!$B$3</c:f>
              <c:strCache>
                <c:ptCount val="1"/>
                <c:pt idx="0">
                  <c:v>Total</c:v>
                </c:pt>
              </c:strCache>
            </c:strRef>
          </c:tx>
          <c:dPt>
            <c:idx val="0"/>
            <c:bubble3D val="0"/>
            <c:spPr>
              <a:solidFill>
                <a:schemeClr val="accent5">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191E-4D65-BA1D-5FBB6DF8B34A}"/>
              </c:ext>
            </c:extLst>
          </c:dPt>
          <c:dPt>
            <c:idx val="1"/>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191E-4D65-BA1D-5FBB6DF8B34A}"/>
              </c:ext>
            </c:extLst>
          </c:dPt>
          <c:dPt>
            <c:idx val="2"/>
            <c:bubble3D val="0"/>
            <c:spPr>
              <a:solidFill>
                <a:schemeClr val="accent5">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191E-4D65-BA1D-5FBB6DF8B34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Sheet9!$A$4:$A$7</c:f>
              <c:strCache>
                <c:ptCount val="3"/>
                <c:pt idx="0">
                  <c:v>Electronics</c:v>
                </c:pt>
                <c:pt idx="1">
                  <c:v>Furniture</c:v>
                </c:pt>
                <c:pt idx="2">
                  <c:v>Office Supplies</c:v>
                </c:pt>
              </c:strCache>
            </c:strRef>
          </c:cat>
          <c:val>
            <c:numRef>
              <c:f>Sheet9!$B$4:$B$7</c:f>
              <c:numCache>
                <c:formatCode>General</c:formatCode>
                <c:ptCount val="3"/>
                <c:pt idx="0">
                  <c:v>624646</c:v>
                </c:pt>
                <c:pt idx="1">
                  <c:v>632092</c:v>
                </c:pt>
                <c:pt idx="2">
                  <c:v>520416</c:v>
                </c:pt>
              </c:numCache>
            </c:numRef>
          </c:val>
          <c:extLst>
            <c:ext xmlns:c16="http://schemas.microsoft.com/office/drawing/2014/chart" uri="{C3380CC4-5D6E-409C-BE32-E72D297353CC}">
              <c16:uniqueId val="{00000006-191E-4D65-BA1D-5FBB6DF8B34A}"/>
            </c:ext>
          </c:extLst>
        </c:ser>
        <c:dLbls>
          <c:dLblPos val="inEnd"/>
          <c:showLegendKey val="0"/>
          <c:showVal val="0"/>
          <c:showCatName val="1"/>
          <c:showSerName val="0"/>
          <c:showPercent val="0"/>
          <c:showBubbleSize val="0"/>
          <c:showLeaderLines val="1"/>
        </c:dLbls>
      </c:pie3DChart>
      <c:spPr>
        <a:noFill/>
        <a:ln>
          <a:noFill/>
        </a:ln>
        <a:effectLst/>
      </c:spPr>
    </c:plotArea>
    <c:legend>
      <c:legendPos val="r"/>
      <c:overlay val="0"/>
      <c:spPr>
        <a:solidFill>
          <a:schemeClr val="tx1"/>
        </a:solid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 .xlsx]Sheet10!PivotTable7</c:name>
    <c:fmtId val="10"/>
  </c:pivotSource>
  <c:chart>
    <c:autoTitleDeleted val="1"/>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Sheet10!$B$3</c:f>
              <c:strCache>
                <c:ptCount val="1"/>
                <c:pt idx="0">
                  <c:v>Total</c:v>
                </c:pt>
              </c:strCache>
            </c:strRef>
          </c:tx>
          <c:dPt>
            <c:idx val="0"/>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8F2D-4037-83E3-7AFE21852686}"/>
              </c:ext>
            </c:extLst>
          </c:dPt>
          <c:dPt>
            <c:idx val="1"/>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8F2D-4037-83E3-7AFE21852686}"/>
              </c:ext>
            </c:extLst>
          </c:dPt>
          <c:dPt>
            <c:idx val="2"/>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8F2D-4037-83E3-7AFE2185268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Sheet10!$A$4:$A$7</c:f>
              <c:strCache>
                <c:ptCount val="3"/>
                <c:pt idx="0">
                  <c:v>Consumer</c:v>
                </c:pt>
                <c:pt idx="1">
                  <c:v>Corporate</c:v>
                </c:pt>
                <c:pt idx="2">
                  <c:v>Home Office</c:v>
                </c:pt>
              </c:strCache>
            </c:strRef>
          </c:cat>
          <c:val>
            <c:numRef>
              <c:f>Sheet10!$B$4:$B$7</c:f>
              <c:numCache>
                <c:formatCode>General</c:formatCode>
                <c:ptCount val="3"/>
                <c:pt idx="0">
                  <c:v>3770367</c:v>
                </c:pt>
                <c:pt idx="1">
                  <c:v>4593536</c:v>
                </c:pt>
                <c:pt idx="2">
                  <c:v>3757447</c:v>
                </c:pt>
              </c:numCache>
            </c:numRef>
          </c:val>
          <c:extLst>
            <c:ext xmlns:c16="http://schemas.microsoft.com/office/drawing/2014/chart" uri="{C3380CC4-5D6E-409C-BE32-E72D297353CC}">
              <c16:uniqueId val="{00000006-8F2D-4037-83E3-7AFE21852686}"/>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[Excel_Dashboard .xlsx]Sheet5!PivotTable4</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Sheet5!$A$4:$A$10</c:f>
              <c:strCache>
                <c:ptCount val="6"/>
                <c:pt idx="0">
                  <c:v>Jan</c:v>
                </c:pt>
                <c:pt idx="1">
                  <c:v>Feb</c:v>
                </c:pt>
                <c:pt idx="2">
                  <c:v>Mar</c:v>
                </c:pt>
                <c:pt idx="3">
                  <c:v>Apr</c:v>
                </c:pt>
                <c:pt idx="4">
                  <c:v>May</c:v>
                </c:pt>
                <c:pt idx="5">
                  <c:v>Jun</c:v>
                </c:pt>
              </c:strCache>
            </c:strRef>
          </c:cat>
          <c:val>
            <c:numRef>
              <c:f>Sheet5!$B$4:$B$10</c:f>
              <c:numCache>
                <c:formatCode>General</c:formatCode>
                <c:ptCount val="6"/>
                <c:pt idx="0">
                  <c:v>1790957</c:v>
                </c:pt>
                <c:pt idx="1">
                  <c:v>2141927</c:v>
                </c:pt>
                <c:pt idx="2">
                  <c:v>1973031</c:v>
                </c:pt>
                <c:pt idx="3">
                  <c:v>2489002</c:v>
                </c:pt>
                <c:pt idx="4">
                  <c:v>1677871</c:v>
                </c:pt>
                <c:pt idx="5">
                  <c:v>2048562</c:v>
                </c:pt>
              </c:numCache>
            </c:numRef>
          </c:val>
          <c:smooth val="0"/>
          <c:extLst>
            <c:ext xmlns:c16="http://schemas.microsoft.com/office/drawing/2014/chart" uri="{C3380CC4-5D6E-409C-BE32-E72D297353CC}">
              <c16:uniqueId val="{00000000-CFC6-43D2-BB36-84052ADAAA13}"/>
            </c:ext>
          </c:extLst>
        </c:ser>
        <c:dLbls>
          <c:showLegendKey val="0"/>
          <c:showVal val="0"/>
          <c:showCatName val="0"/>
          <c:showSerName val="0"/>
          <c:showPercent val="0"/>
          <c:showBubbleSize val="0"/>
        </c:dLbls>
        <c:marker val="1"/>
        <c:smooth val="0"/>
        <c:axId val="425167519"/>
        <c:axId val="543799455"/>
      </c:lineChart>
      <c:catAx>
        <c:axId val="425167519"/>
        <c:scaling>
          <c:orientation val="minMax"/>
        </c:scaling>
        <c:delete val="0"/>
        <c:axPos val="b"/>
        <c:numFmt formatCode="General" sourceLinked="1"/>
        <c:majorTickMark val="out"/>
        <c:minorTickMark val="none"/>
        <c:tickLblPos val="nextTo"/>
        <c:spPr>
          <a:solidFill>
            <a:schemeClr val="tx1"/>
          </a:solid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crossAx val="543799455"/>
        <c:crosses val="autoZero"/>
        <c:auto val="1"/>
        <c:lblAlgn val="ctr"/>
        <c:lblOffset val="100"/>
        <c:noMultiLvlLbl val="0"/>
      </c:catAx>
      <c:valAx>
        <c:axId val="543799455"/>
        <c:scaling>
          <c:orientation val="minMax"/>
        </c:scaling>
        <c:delete val="0"/>
        <c:axPos val="l"/>
        <c:majorGridlines>
          <c:spPr>
            <a:ln w="9525" cap="flat" cmpd="sng" algn="ctr">
              <a:solidFill>
                <a:schemeClr val="bg1">
                  <a:alpha val="34000"/>
                </a:schemeClr>
              </a:solidFill>
              <a:round/>
            </a:ln>
            <a:effectLst/>
          </c:spPr>
        </c:majorGridlines>
        <c:numFmt formatCode="General" sourceLinked="1"/>
        <c:majorTickMark val="none"/>
        <c:minorTickMark val="none"/>
        <c:tickLblPos val="nextTo"/>
        <c:spPr>
          <a:solidFill>
            <a:schemeClr val="tx1"/>
          </a:solid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crossAx val="425167519"/>
        <c:crosses val="autoZero"/>
        <c:crossBetween val="between"/>
      </c:valAx>
      <c:spPr>
        <a:solidFill>
          <a:schemeClr val="tx1"/>
        </a:solidFill>
        <a:ln>
          <a:noFill/>
        </a:ln>
        <a:effectLst/>
      </c:spPr>
    </c:plotArea>
    <c:legend>
      <c:legendPos val="r"/>
      <c:overlay val="0"/>
      <c:spPr>
        <a:solidFill>
          <a:schemeClr val="tx1"/>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[Excel_Dashboard .xlsx]Sheet11!PivotTable8</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Sheet11!$B$3</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Sheet11!$A$4:$A$12</c:f>
              <c:strCache>
                <c:ptCount val="8"/>
                <c:pt idx="0">
                  <c:v>Delhi</c:v>
                </c:pt>
                <c:pt idx="1">
                  <c:v>Gujarat</c:v>
                </c:pt>
                <c:pt idx="2">
                  <c:v>Karnataka</c:v>
                </c:pt>
                <c:pt idx="3">
                  <c:v>Maharashtra</c:v>
                </c:pt>
                <c:pt idx="4">
                  <c:v>Odisha</c:v>
                </c:pt>
                <c:pt idx="5">
                  <c:v>Tamil Nadu</c:v>
                </c:pt>
                <c:pt idx="6">
                  <c:v>UP</c:v>
                </c:pt>
                <c:pt idx="7">
                  <c:v>West Bengal</c:v>
                </c:pt>
              </c:strCache>
            </c:strRef>
          </c:cat>
          <c:val>
            <c:numRef>
              <c:f>Sheet11!$B$4:$B$12</c:f>
              <c:numCache>
                <c:formatCode>General</c:formatCode>
                <c:ptCount val="8"/>
                <c:pt idx="0">
                  <c:v>1401368</c:v>
                </c:pt>
                <c:pt idx="1">
                  <c:v>1519690</c:v>
                </c:pt>
                <c:pt idx="2">
                  <c:v>1694659</c:v>
                </c:pt>
                <c:pt idx="3">
                  <c:v>1811651</c:v>
                </c:pt>
                <c:pt idx="4">
                  <c:v>1416529</c:v>
                </c:pt>
                <c:pt idx="5">
                  <c:v>1316491</c:v>
                </c:pt>
                <c:pt idx="6">
                  <c:v>1531910</c:v>
                </c:pt>
                <c:pt idx="7">
                  <c:v>1429052</c:v>
                </c:pt>
              </c:numCache>
            </c:numRef>
          </c:val>
          <c:extLst>
            <c:ext xmlns:c16="http://schemas.microsoft.com/office/drawing/2014/chart" uri="{C3380CC4-5D6E-409C-BE32-E72D297353CC}">
              <c16:uniqueId val="{00000000-CCED-4480-BA3D-0A6607E2F2A1}"/>
            </c:ext>
          </c:extLst>
        </c:ser>
        <c:dLbls>
          <c:dLblPos val="ctr"/>
          <c:showLegendKey val="0"/>
          <c:showVal val="1"/>
          <c:showCatName val="0"/>
          <c:showSerName val="0"/>
          <c:showPercent val="0"/>
          <c:showBubbleSize val="0"/>
        </c:dLbls>
        <c:gapWidth val="150"/>
        <c:overlap val="100"/>
        <c:axId val="1252609487"/>
        <c:axId val="1252606607"/>
      </c:barChart>
      <c:catAx>
        <c:axId val="125260948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400" b="0" i="0" u="none" strike="noStrike" kern="1200" baseline="0">
                <a:solidFill>
                  <a:schemeClr val="lt1">
                    <a:lumMod val="85000"/>
                  </a:schemeClr>
                </a:solidFill>
                <a:latin typeface="+mn-lt"/>
                <a:ea typeface="+mn-ea"/>
                <a:cs typeface="+mn-cs"/>
              </a:defRPr>
            </a:pPr>
            <a:endParaRPr lang="en-US"/>
          </a:p>
        </c:txPr>
        <c:crossAx val="1252606607"/>
        <c:crosses val="autoZero"/>
        <c:auto val="1"/>
        <c:lblAlgn val="ctr"/>
        <c:lblOffset val="100"/>
        <c:noMultiLvlLbl val="0"/>
      </c:catAx>
      <c:valAx>
        <c:axId val="125260660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crossAx val="1252609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 .xlsx]Sheet5!PivotTable4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28575" cap="rnd">
              <a:solidFill>
                <a:schemeClr val="accent1"/>
              </a:solidFill>
              <a:round/>
            </a:ln>
            <a:effectLst/>
          </c:spPr>
          <c:marker>
            <c:symbol val="none"/>
          </c:marker>
          <c:cat>
            <c:strRef>
              <c:f>Sheet5!$A$4:$A$10</c:f>
              <c:strCache>
                <c:ptCount val="6"/>
                <c:pt idx="0">
                  <c:v>Jan</c:v>
                </c:pt>
                <c:pt idx="1">
                  <c:v>Feb</c:v>
                </c:pt>
                <c:pt idx="2">
                  <c:v>Mar</c:v>
                </c:pt>
                <c:pt idx="3">
                  <c:v>Apr</c:v>
                </c:pt>
                <c:pt idx="4">
                  <c:v>May</c:v>
                </c:pt>
                <c:pt idx="5">
                  <c:v>Jun</c:v>
                </c:pt>
              </c:strCache>
            </c:strRef>
          </c:cat>
          <c:val>
            <c:numRef>
              <c:f>Sheet5!$B$4:$B$10</c:f>
              <c:numCache>
                <c:formatCode>General</c:formatCode>
                <c:ptCount val="6"/>
                <c:pt idx="0">
                  <c:v>1790957</c:v>
                </c:pt>
                <c:pt idx="1">
                  <c:v>2141927</c:v>
                </c:pt>
                <c:pt idx="2">
                  <c:v>1973031</c:v>
                </c:pt>
                <c:pt idx="3">
                  <c:v>2489002</c:v>
                </c:pt>
                <c:pt idx="4">
                  <c:v>1677871</c:v>
                </c:pt>
                <c:pt idx="5">
                  <c:v>2048562</c:v>
                </c:pt>
              </c:numCache>
            </c:numRef>
          </c:val>
          <c:smooth val="0"/>
          <c:extLst>
            <c:ext xmlns:c16="http://schemas.microsoft.com/office/drawing/2014/chart" uri="{C3380CC4-5D6E-409C-BE32-E72D297353CC}">
              <c16:uniqueId val="{00000000-2564-4A41-9DC7-49D83BBD45F7}"/>
            </c:ext>
          </c:extLst>
        </c:ser>
        <c:dLbls>
          <c:showLegendKey val="0"/>
          <c:showVal val="0"/>
          <c:showCatName val="0"/>
          <c:showSerName val="0"/>
          <c:showPercent val="0"/>
          <c:showBubbleSize val="0"/>
        </c:dLbls>
        <c:smooth val="0"/>
        <c:axId val="425167519"/>
        <c:axId val="543799455"/>
      </c:lineChart>
      <c:catAx>
        <c:axId val="425167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799455"/>
        <c:crosses val="autoZero"/>
        <c:auto val="1"/>
        <c:lblAlgn val="ctr"/>
        <c:lblOffset val="100"/>
        <c:noMultiLvlLbl val="0"/>
      </c:catAx>
      <c:valAx>
        <c:axId val="543799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167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 .xlsx]Sheet8!PivotTable5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Sheet8!$B$3</c:f>
              <c:strCache>
                <c:ptCount val="1"/>
                <c:pt idx="0">
                  <c:v>Total</c:v>
                </c:pt>
              </c:strCache>
            </c:strRef>
          </c:tx>
          <c:spPr>
            <a:solidFill>
              <a:schemeClr val="accent1"/>
            </a:solidFill>
            <a:ln>
              <a:noFill/>
            </a:ln>
            <a:effectLst/>
          </c:spPr>
          <c:invertIfNegative val="0"/>
          <c:cat>
            <c:strRef>
              <c:f>Sheet8!$A$4:$A$8</c:f>
              <c:strCache>
                <c:ptCount val="4"/>
                <c:pt idx="0">
                  <c:v>East</c:v>
                </c:pt>
                <c:pt idx="1">
                  <c:v>North</c:v>
                </c:pt>
                <c:pt idx="2">
                  <c:v>South</c:v>
                </c:pt>
                <c:pt idx="3">
                  <c:v>West</c:v>
                </c:pt>
              </c:strCache>
            </c:strRef>
          </c:cat>
          <c:val>
            <c:numRef>
              <c:f>Sheet8!$B$4:$B$8</c:f>
              <c:numCache>
                <c:formatCode>General</c:formatCode>
                <c:ptCount val="4"/>
                <c:pt idx="0">
                  <c:v>2845581</c:v>
                </c:pt>
                <c:pt idx="1">
                  <c:v>2933278</c:v>
                </c:pt>
                <c:pt idx="2">
                  <c:v>3011150</c:v>
                </c:pt>
                <c:pt idx="3">
                  <c:v>3331341</c:v>
                </c:pt>
              </c:numCache>
            </c:numRef>
          </c:val>
          <c:extLst>
            <c:ext xmlns:c16="http://schemas.microsoft.com/office/drawing/2014/chart" uri="{C3380CC4-5D6E-409C-BE32-E72D297353CC}">
              <c16:uniqueId val="{00000000-017E-44A5-BED9-B66DBDBEE060}"/>
            </c:ext>
          </c:extLst>
        </c:ser>
        <c:dLbls>
          <c:showLegendKey val="0"/>
          <c:showVal val="0"/>
          <c:showCatName val="0"/>
          <c:showSerName val="0"/>
          <c:showPercent val="0"/>
          <c:showBubbleSize val="0"/>
        </c:dLbls>
        <c:gapWidth val="150"/>
        <c:overlap val="100"/>
        <c:axId val="1139762863"/>
        <c:axId val="1139763823"/>
      </c:barChart>
      <c:catAx>
        <c:axId val="1139762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763823"/>
        <c:crosses val="autoZero"/>
        <c:auto val="1"/>
        <c:lblAlgn val="ctr"/>
        <c:lblOffset val="100"/>
        <c:noMultiLvlLbl val="0"/>
      </c:catAx>
      <c:valAx>
        <c:axId val="11397638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762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 .xlsx]Sheet9!PivotTable6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Sheet9!$B$3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254-4CC6-8D31-04ACCE86885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254-4CC6-8D31-04ACCE86885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6254-4CC6-8D31-04ACCE868859}"/>
              </c:ext>
            </c:extLst>
          </c:dPt>
          <c:cat>
            <c:strRef>
              <c:f>Sheet9!$A$4:$A$7</c:f>
              <c:strCache>
                <c:ptCount val="3"/>
                <c:pt idx="0">
                  <c:v>Electronics</c:v>
                </c:pt>
                <c:pt idx="1">
                  <c:v>Furniture</c:v>
                </c:pt>
                <c:pt idx="2">
                  <c:v>Office Supplies</c:v>
                </c:pt>
              </c:strCache>
            </c:strRef>
          </c:cat>
          <c:val>
            <c:numRef>
              <c:f>Sheet9!$B$4:$B$7</c:f>
              <c:numCache>
                <c:formatCode>General</c:formatCode>
                <c:ptCount val="3"/>
                <c:pt idx="0">
                  <c:v>624646</c:v>
                </c:pt>
                <c:pt idx="1">
                  <c:v>632092</c:v>
                </c:pt>
                <c:pt idx="2">
                  <c:v>520416</c:v>
                </c:pt>
              </c:numCache>
            </c:numRef>
          </c:val>
          <c:extLst>
            <c:ext xmlns:c16="http://schemas.microsoft.com/office/drawing/2014/chart" uri="{C3380CC4-5D6E-409C-BE32-E72D297353CC}">
              <c16:uniqueId val="{00000000-DE3A-4EF3-86CD-21C28F26581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 .xlsx]Sheet10!PivotTable7</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Sheet10!$B$3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01B-4E9C-A43F-275D821FFAE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01B-4E9C-A43F-275D821FFAE2}"/>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01B-4E9C-A43F-275D821FFAE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Sheet10!$A$4:$A$7</c:f>
              <c:strCache>
                <c:ptCount val="3"/>
                <c:pt idx="0">
                  <c:v>Consumer</c:v>
                </c:pt>
                <c:pt idx="1">
                  <c:v>Corporate</c:v>
                </c:pt>
                <c:pt idx="2">
                  <c:v>Home Office</c:v>
                </c:pt>
              </c:strCache>
            </c:strRef>
          </c:cat>
          <c:val>
            <c:numRef>
              <c:f>Sheet10!$B$4:$B$7</c:f>
              <c:numCache>
                <c:formatCode>General</c:formatCode>
                <c:ptCount val="3"/>
                <c:pt idx="0">
                  <c:v>3770367</c:v>
                </c:pt>
                <c:pt idx="1">
                  <c:v>4593536</c:v>
                </c:pt>
                <c:pt idx="2">
                  <c:v>3757447</c:v>
                </c:pt>
              </c:numCache>
            </c:numRef>
          </c:val>
          <c:extLst>
            <c:ext xmlns:c16="http://schemas.microsoft.com/office/drawing/2014/chart" uri="{C3380CC4-5D6E-409C-BE32-E72D297353CC}">
              <c16:uniqueId val="{00000000-3793-4209-B170-83579EE0B95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 .xlsx]Sheet11!PivotTable8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Sheet11!$B$3</c:f>
              <c:strCache>
                <c:ptCount val="1"/>
                <c:pt idx="0">
                  <c:v>Total</c:v>
                </c:pt>
              </c:strCache>
            </c:strRef>
          </c:tx>
          <c:spPr>
            <a:solidFill>
              <a:schemeClr val="accent1"/>
            </a:solidFill>
            <a:ln>
              <a:noFill/>
            </a:ln>
            <a:effectLst/>
          </c:spPr>
          <c:invertIfNegative val="0"/>
          <c:cat>
            <c:strRef>
              <c:f>Sheet11!$A$4:$A$12</c:f>
              <c:strCache>
                <c:ptCount val="8"/>
                <c:pt idx="0">
                  <c:v>Delhi</c:v>
                </c:pt>
                <c:pt idx="1">
                  <c:v>Gujarat</c:v>
                </c:pt>
                <c:pt idx="2">
                  <c:v>Karnataka</c:v>
                </c:pt>
                <c:pt idx="3">
                  <c:v>Maharashtra</c:v>
                </c:pt>
                <c:pt idx="4">
                  <c:v>Odisha</c:v>
                </c:pt>
                <c:pt idx="5">
                  <c:v>Tamil Nadu</c:v>
                </c:pt>
                <c:pt idx="6">
                  <c:v>UP</c:v>
                </c:pt>
                <c:pt idx="7">
                  <c:v>West Bengal</c:v>
                </c:pt>
              </c:strCache>
            </c:strRef>
          </c:cat>
          <c:val>
            <c:numRef>
              <c:f>Sheet11!$B$4:$B$12</c:f>
              <c:numCache>
                <c:formatCode>General</c:formatCode>
                <c:ptCount val="8"/>
                <c:pt idx="0">
                  <c:v>1401368</c:v>
                </c:pt>
                <c:pt idx="1">
                  <c:v>1519690</c:v>
                </c:pt>
                <c:pt idx="2">
                  <c:v>1694659</c:v>
                </c:pt>
                <c:pt idx="3">
                  <c:v>1811651</c:v>
                </c:pt>
                <c:pt idx="4">
                  <c:v>1416529</c:v>
                </c:pt>
                <c:pt idx="5">
                  <c:v>1316491</c:v>
                </c:pt>
                <c:pt idx="6">
                  <c:v>1531910</c:v>
                </c:pt>
                <c:pt idx="7">
                  <c:v>1429052</c:v>
                </c:pt>
              </c:numCache>
            </c:numRef>
          </c:val>
          <c:extLst>
            <c:ext xmlns:c16="http://schemas.microsoft.com/office/drawing/2014/chart" uri="{C3380CC4-5D6E-409C-BE32-E72D297353CC}">
              <c16:uniqueId val="{00000003-56A6-4034-A111-AAA65EF1A6D0}"/>
            </c:ext>
          </c:extLst>
        </c:ser>
        <c:dLbls>
          <c:showLegendKey val="0"/>
          <c:showVal val="0"/>
          <c:showCatName val="0"/>
          <c:showSerName val="0"/>
          <c:showPercent val="0"/>
          <c:showBubbleSize val="0"/>
        </c:dLbls>
        <c:gapWidth val="150"/>
        <c:overlap val="100"/>
        <c:axId val="1252609487"/>
        <c:axId val="1252606607"/>
      </c:barChart>
      <c:catAx>
        <c:axId val="12526094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606607"/>
        <c:crosses val="autoZero"/>
        <c:auto val="1"/>
        <c:lblAlgn val="ctr"/>
        <c:lblOffset val="100"/>
        <c:noMultiLvlLbl val="0"/>
      </c:catAx>
      <c:valAx>
        <c:axId val="12526066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609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 .xlsx]Sheet13!PivotTable9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Sheet13!$A$3</c:f>
              <c:strCache>
                <c:ptCount val="1"/>
                <c:pt idx="0">
                  <c:v>Total</c:v>
                </c:pt>
              </c:strCache>
            </c:strRef>
          </c:tx>
          <c:spPr>
            <a:solidFill>
              <a:schemeClr val="accent1"/>
            </a:solidFill>
            <a:ln>
              <a:noFill/>
            </a:ln>
            <a:effectLst/>
          </c:spPr>
          <c:invertIfNegative val="0"/>
          <c:cat>
            <c:strRef>
              <c:f>Sheet13!$A$4</c:f>
              <c:strCache>
                <c:ptCount val="1"/>
                <c:pt idx="0">
                  <c:v>Total</c:v>
                </c:pt>
              </c:strCache>
            </c:strRef>
          </c:cat>
          <c:val>
            <c:numRef>
              <c:f>Sheet13!$A$4</c:f>
              <c:numCache>
                <c:formatCode>General</c:formatCode>
                <c:ptCount val="1"/>
                <c:pt idx="0">
                  <c:v>3200</c:v>
                </c:pt>
              </c:numCache>
            </c:numRef>
          </c:val>
          <c:extLst>
            <c:ext xmlns:c16="http://schemas.microsoft.com/office/drawing/2014/chart" uri="{C3380CC4-5D6E-409C-BE32-E72D297353CC}">
              <c16:uniqueId val="{00000000-8458-4FFB-BA52-E991050ABC9E}"/>
            </c:ext>
          </c:extLst>
        </c:ser>
        <c:dLbls>
          <c:showLegendKey val="0"/>
          <c:showVal val="0"/>
          <c:showCatName val="0"/>
          <c:showSerName val="0"/>
          <c:showPercent val="0"/>
          <c:showBubbleSize val="0"/>
        </c:dLbls>
        <c:gapWidth val="219"/>
        <c:overlap val="-27"/>
        <c:axId val="1264370351"/>
        <c:axId val="1264375151"/>
      </c:barChart>
      <c:catAx>
        <c:axId val="1264370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64375151"/>
        <c:crosses val="autoZero"/>
        <c:auto val="1"/>
        <c:lblAlgn val="ctr"/>
        <c:lblOffset val="100"/>
        <c:noMultiLvlLbl val="0"/>
      </c:catAx>
      <c:valAx>
        <c:axId val="1264375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64370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25400" cap="flat"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15</xdr:col>
      <xdr:colOff>23698</xdr:colOff>
      <xdr:row>1</xdr:row>
      <xdr:rowOff>144586</xdr:rowOff>
    </xdr:from>
    <xdr:to>
      <xdr:col>22</xdr:col>
      <xdr:colOff>135352</xdr:colOff>
      <xdr:row>16</xdr:row>
      <xdr:rowOff>139968</xdr:rowOff>
    </xdr:to>
    <xdr:graphicFrame macro="">
      <xdr:nvGraphicFramePr>
        <xdr:cNvPr id="3" name="Chart 2">
          <a:extLst>
            <a:ext uri="{FF2B5EF4-FFF2-40B4-BE49-F238E27FC236}">
              <a16:creationId xmlns:a16="http://schemas.microsoft.com/office/drawing/2014/main" id="{EE493D41-9E07-4260-921F-D6235233AA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4980</xdr:colOff>
      <xdr:row>17</xdr:row>
      <xdr:rowOff>41754</xdr:rowOff>
    </xdr:from>
    <xdr:to>
      <xdr:col>22</xdr:col>
      <xdr:colOff>125261</xdr:colOff>
      <xdr:row>32</xdr:row>
      <xdr:rowOff>146136</xdr:rowOff>
    </xdr:to>
    <xdr:graphicFrame macro="">
      <xdr:nvGraphicFramePr>
        <xdr:cNvPr id="4" name="Chart 3">
          <a:extLst>
            <a:ext uri="{FF2B5EF4-FFF2-40B4-BE49-F238E27FC236}">
              <a16:creationId xmlns:a16="http://schemas.microsoft.com/office/drawing/2014/main" id="{9DC1F588-E23D-458D-9E7C-D3E5FD0145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175054</xdr:colOff>
      <xdr:row>17</xdr:row>
      <xdr:rowOff>62030</xdr:rowOff>
    </xdr:from>
    <xdr:to>
      <xdr:col>14</xdr:col>
      <xdr:colOff>463664</xdr:colOff>
      <xdr:row>32</xdr:row>
      <xdr:rowOff>130123</xdr:rowOff>
    </xdr:to>
    <xdr:graphicFrame macro="">
      <xdr:nvGraphicFramePr>
        <xdr:cNvPr id="7" name="Chart 6">
          <a:extLst>
            <a:ext uri="{FF2B5EF4-FFF2-40B4-BE49-F238E27FC236}">
              <a16:creationId xmlns:a16="http://schemas.microsoft.com/office/drawing/2014/main" id="{7E355CA4-8808-4922-B6E8-3744C2DD11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216245</xdr:colOff>
      <xdr:row>1</xdr:row>
      <xdr:rowOff>154460</xdr:rowOff>
    </xdr:from>
    <xdr:to>
      <xdr:col>14</xdr:col>
      <xdr:colOff>296749</xdr:colOff>
      <xdr:row>16</xdr:row>
      <xdr:rowOff>135113</xdr:rowOff>
    </xdr:to>
    <xdr:graphicFrame macro="">
      <xdr:nvGraphicFramePr>
        <xdr:cNvPr id="8" name="Chart 7">
          <a:extLst>
            <a:ext uri="{FF2B5EF4-FFF2-40B4-BE49-F238E27FC236}">
              <a16:creationId xmlns:a16="http://schemas.microsoft.com/office/drawing/2014/main" id="{C846F22F-418B-4E91-91A4-EF2116866E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92676</xdr:colOff>
      <xdr:row>17</xdr:row>
      <xdr:rowOff>30892</xdr:rowOff>
    </xdr:from>
    <xdr:to>
      <xdr:col>7</xdr:col>
      <xdr:colOff>597243</xdr:colOff>
      <xdr:row>33</xdr:row>
      <xdr:rowOff>61784</xdr:rowOff>
    </xdr:to>
    <xdr:graphicFrame macro="">
      <xdr:nvGraphicFramePr>
        <xdr:cNvPr id="9" name="Chart 8">
          <a:extLst>
            <a:ext uri="{FF2B5EF4-FFF2-40B4-BE49-F238E27FC236}">
              <a16:creationId xmlns:a16="http://schemas.microsoft.com/office/drawing/2014/main" id="{23F85D92-01D7-4D5F-A101-D3685F9ABF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302712</xdr:colOff>
      <xdr:row>1</xdr:row>
      <xdr:rowOff>93944</xdr:rowOff>
    </xdr:from>
    <xdr:to>
      <xdr:col>3</xdr:col>
      <xdr:colOff>438411</xdr:colOff>
      <xdr:row>6</xdr:row>
      <xdr:rowOff>104383</xdr:rowOff>
    </xdr:to>
    <xdr:sp macro="" textlink="">
      <xdr:nvSpPr>
        <xdr:cNvPr id="12" name="Rectangle: Rounded Corners 11">
          <a:extLst>
            <a:ext uri="{FF2B5EF4-FFF2-40B4-BE49-F238E27FC236}">
              <a16:creationId xmlns:a16="http://schemas.microsoft.com/office/drawing/2014/main" id="{A69E344D-5FD6-18B1-C96B-EB0E0D91BB1F}"/>
            </a:ext>
          </a:extLst>
        </xdr:cNvPr>
        <xdr:cNvSpPr/>
      </xdr:nvSpPr>
      <xdr:spPr>
        <a:xfrm>
          <a:off x="302712" y="793314"/>
          <a:ext cx="1951973" cy="949891"/>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0">
              <a:solidFill>
                <a:schemeClr val="tx1"/>
              </a:solidFill>
              <a:latin typeface="Bauhaus 93" panose="04030905020B02020C02" pitchFamily="82" charset="0"/>
            </a:rPr>
            <a:t>TOTAL SALES</a:t>
          </a:r>
        </a:p>
        <a:p>
          <a:pPr algn="ctr"/>
          <a:r>
            <a:rPr lang="en-US" sz="2000" b="1">
              <a:solidFill>
                <a:schemeClr val="tx1"/>
              </a:solidFill>
            </a:rPr>
            <a:t>12121350</a:t>
          </a:r>
        </a:p>
      </xdr:txBody>
    </xdr:sp>
    <xdr:clientData/>
  </xdr:twoCellAnchor>
  <xdr:twoCellAnchor>
    <xdr:from>
      <xdr:col>0</xdr:col>
      <xdr:colOff>260959</xdr:colOff>
      <xdr:row>9</xdr:row>
      <xdr:rowOff>41754</xdr:rowOff>
    </xdr:from>
    <xdr:to>
      <xdr:col>3</xdr:col>
      <xdr:colOff>427973</xdr:colOff>
      <xdr:row>14</xdr:row>
      <xdr:rowOff>104384</xdr:rowOff>
    </xdr:to>
    <xdr:sp macro="" textlink="">
      <xdr:nvSpPr>
        <xdr:cNvPr id="13" name="Rectangle: Rounded Corners 12">
          <a:extLst>
            <a:ext uri="{FF2B5EF4-FFF2-40B4-BE49-F238E27FC236}">
              <a16:creationId xmlns:a16="http://schemas.microsoft.com/office/drawing/2014/main" id="{A1A2A092-6BB4-4B83-937B-DE9F9B9E5734}"/>
            </a:ext>
          </a:extLst>
        </xdr:cNvPr>
        <xdr:cNvSpPr/>
      </xdr:nvSpPr>
      <xdr:spPr>
        <a:xfrm>
          <a:off x="260959" y="2244247"/>
          <a:ext cx="1983288" cy="1002082"/>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800" b="0">
              <a:solidFill>
                <a:schemeClr val="tx1"/>
              </a:solidFill>
              <a:latin typeface="Bauhaus 93" panose="04030905020B02020C02" pitchFamily="82" charset="0"/>
              <a:ea typeface="+mn-ea"/>
              <a:cs typeface="+mn-cs"/>
            </a:rPr>
            <a:t>TOTAL QUANTITY</a:t>
          </a:r>
        </a:p>
        <a:p>
          <a:pPr marL="0" indent="0" algn="ctr"/>
          <a:r>
            <a:rPr lang="en-US" sz="1800" b="1" i="1">
              <a:solidFill>
                <a:schemeClr val="tx1"/>
              </a:solidFill>
              <a:latin typeface="+mn-lt"/>
              <a:ea typeface="+mn-ea"/>
              <a:cs typeface="+mn-cs"/>
            </a:rPr>
            <a:t>3200</a:t>
          </a:r>
        </a:p>
      </xdr:txBody>
    </xdr:sp>
    <xdr:clientData/>
  </xdr:twoCellAnchor>
  <xdr:twoCellAnchor>
    <xdr:from>
      <xdr:col>4</xdr:col>
      <xdr:colOff>10437</xdr:colOff>
      <xdr:row>4</xdr:row>
      <xdr:rowOff>125263</xdr:rowOff>
    </xdr:from>
    <xdr:to>
      <xdr:col>6</xdr:col>
      <xdr:colOff>365341</xdr:colOff>
      <xdr:row>11</xdr:row>
      <xdr:rowOff>167016</xdr:rowOff>
    </xdr:to>
    <xdr:sp macro="" textlink="">
      <xdr:nvSpPr>
        <xdr:cNvPr id="14" name="Rectangle: Rounded Corners 13">
          <a:extLst>
            <a:ext uri="{FF2B5EF4-FFF2-40B4-BE49-F238E27FC236}">
              <a16:creationId xmlns:a16="http://schemas.microsoft.com/office/drawing/2014/main" id="{73FB3879-A87C-4339-B7F3-2C6AB8090D33}"/>
            </a:ext>
          </a:extLst>
        </xdr:cNvPr>
        <xdr:cNvSpPr/>
      </xdr:nvSpPr>
      <xdr:spPr>
        <a:xfrm>
          <a:off x="2432136" y="1388304"/>
          <a:ext cx="1565753" cy="1356986"/>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2000" b="0">
              <a:solidFill>
                <a:schemeClr val="tx1"/>
              </a:solidFill>
              <a:latin typeface="Bauhaus 93" panose="04030905020B02020C02" pitchFamily="82" charset="0"/>
              <a:ea typeface="+mn-ea"/>
              <a:cs typeface="+mn-cs"/>
            </a:rPr>
            <a:t>TOTAL PROFIT </a:t>
          </a:r>
        </a:p>
        <a:p>
          <a:pPr marL="0" indent="0" algn="ctr"/>
          <a:r>
            <a:rPr lang="en-US" sz="1800" b="1" i="0" u="none" strike="noStrike">
              <a:solidFill>
                <a:schemeClr val="tx1"/>
              </a:solidFill>
              <a:effectLst/>
              <a:latin typeface="+mn-lt"/>
              <a:ea typeface="+mn-ea"/>
              <a:cs typeface="+mn-cs"/>
            </a:rPr>
            <a:t>1777154</a:t>
          </a:r>
          <a:r>
            <a:rPr lang="en-US" sz="1800" b="1">
              <a:solidFill>
                <a:schemeClr val="tx1"/>
              </a:solidFill>
            </a:rPr>
            <a:t> </a:t>
          </a:r>
          <a:endParaRPr lang="en-US" sz="1800" b="1">
            <a:solidFill>
              <a:schemeClr val="tx1"/>
            </a:solidFill>
            <a:latin typeface="Bauhaus 93" panose="04030905020B02020C02" pitchFamily="82" charset="0"/>
            <a:ea typeface="+mn-ea"/>
            <a:cs typeface="+mn-cs"/>
          </a:endParaRPr>
        </a:p>
      </xdr:txBody>
    </xdr:sp>
    <xdr:clientData/>
  </xdr:twoCellAnchor>
  <xdr:twoCellAnchor editAs="oneCell">
    <xdr:from>
      <xdr:col>22</xdr:col>
      <xdr:colOff>376827</xdr:colOff>
      <xdr:row>0</xdr:row>
      <xdr:rowOff>276303</xdr:rowOff>
    </xdr:from>
    <xdr:to>
      <xdr:col>25</xdr:col>
      <xdr:colOff>365344</xdr:colOff>
      <xdr:row>7</xdr:row>
      <xdr:rowOff>104384</xdr:rowOff>
    </xdr:to>
    <mc:AlternateContent xmlns:mc="http://schemas.openxmlformats.org/markup-compatibility/2006" xmlns:a14="http://schemas.microsoft.com/office/drawing/2010/main">
      <mc:Choice Requires="a14">
        <xdr:graphicFrame macro="">
          <xdr:nvGraphicFramePr>
            <xdr:cNvPr id="21" name="Region 2">
              <a:extLst>
                <a:ext uri="{FF2B5EF4-FFF2-40B4-BE49-F238E27FC236}">
                  <a16:creationId xmlns:a16="http://schemas.microsoft.com/office/drawing/2014/main" id="{7C887AF9-BA98-29AD-5756-569BF0C0BC8D}"/>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3788027" y="276303"/>
              <a:ext cx="1817317" cy="16264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387159</xdr:colOff>
      <xdr:row>17</xdr:row>
      <xdr:rowOff>25678</xdr:rowOff>
    </xdr:from>
    <xdr:to>
      <xdr:col>25</xdr:col>
      <xdr:colOff>399685</xdr:colOff>
      <xdr:row>24</xdr:row>
      <xdr:rowOff>177452</xdr:rowOff>
    </xdr:to>
    <mc:AlternateContent xmlns:mc="http://schemas.openxmlformats.org/markup-compatibility/2006" xmlns:a14="http://schemas.microsoft.com/office/drawing/2010/main">
      <mc:Choice Requires="a14">
        <xdr:graphicFrame macro="">
          <xdr:nvGraphicFramePr>
            <xdr:cNvPr id="22" name="Customer_Segment 2">
              <a:extLst>
                <a:ext uri="{FF2B5EF4-FFF2-40B4-BE49-F238E27FC236}">
                  <a16:creationId xmlns:a16="http://schemas.microsoft.com/office/drawing/2014/main" id="{DC60AA4A-4C6E-F3D1-68AF-DEF34487D6D4}"/>
                </a:ext>
              </a:extLst>
            </xdr:cNvPr>
            <xdr:cNvGraphicFramePr/>
          </xdr:nvGraphicFramePr>
          <xdr:xfrm>
            <a:off x="0" y="0"/>
            <a:ext cx="0" cy="0"/>
          </xdr:xfrm>
          <a:graphic>
            <a:graphicData uri="http://schemas.microsoft.com/office/drawing/2010/slicer">
              <sle:slicer xmlns:sle="http://schemas.microsoft.com/office/drawing/2010/slicer" name="Customer_Segment 2"/>
            </a:graphicData>
          </a:graphic>
        </xdr:graphicFrame>
      </mc:Choice>
      <mc:Fallback xmlns="">
        <xdr:sp macro="" textlink="">
          <xdr:nvSpPr>
            <xdr:cNvPr id="0" name=""/>
            <xdr:cNvSpPr>
              <a:spLocks noTextEdit="1"/>
            </xdr:cNvSpPr>
          </xdr:nvSpPr>
          <xdr:spPr>
            <a:xfrm>
              <a:off x="13798359" y="3652798"/>
              <a:ext cx="1841326" cy="14319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366179</xdr:colOff>
      <xdr:row>8</xdr:row>
      <xdr:rowOff>46449</xdr:rowOff>
    </xdr:from>
    <xdr:to>
      <xdr:col>25</xdr:col>
      <xdr:colOff>378705</xdr:colOff>
      <xdr:row>15</xdr:row>
      <xdr:rowOff>187889</xdr:rowOff>
    </xdr:to>
    <mc:AlternateContent xmlns:mc="http://schemas.openxmlformats.org/markup-compatibility/2006" xmlns:a14="http://schemas.microsoft.com/office/drawing/2010/main">
      <mc:Choice Requires="a14">
        <xdr:graphicFrame macro="">
          <xdr:nvGraphicFramePr>
            <xdr:cNvPr id="23" name="Category 2">
              <a:extLst>
                <a:ext uri="{FF2B5EF4-FFF2-40B4-BE49-F238E27FC236}">
                  <a16:creationId xmlns:a16="http://schemas.microsoft.com/office/drawing/2014/main" id="{318EA6C7-B1DA-C0B4-7DDF-470425AE2560}"/>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3777379" y="2027649"/>
              <a:ext cx="1841326" cy="14139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220980</xdr:colOff>
      <xdr:row>0</xdr:row>
      <xdr:rowOff>99060</xdr:rowOff>
    </xdr:from>
    <xdr:to>
      <xdr:col>7</xdr:col>
      <xdr:colOff>571500</xdr:colOff>
      <xdr:row>12</xdr:row>
      <xdr:rowOff>106680</xdr:rowOff>
    </xdr:to>
    <xdr:graphicFrame macro="">
      <xdr:nvGraphicFramePr>
        <xdr:cNvPr id="2" name="Chart 1">
          <a:extLst>
            <a:ext uri="{FF2B5EF4-FFF2-40B4-BE49-F238E27FC236}">
              <a16:creationId xmlns:a16="http://schemas.microsoft.com/office/drawing/2014/main" id="{6349B099-506F-4F60-3640-C7CCE655DD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251460</xdr:colOff>
      <xdr:row>6</xdr:row>
      <xdr:rowOff>83820</xdr:rowOff>
    </xdr:from>
    <xdr:to>
      <xdr:col>11</xdr:col>
      <xdr:colOff>556260</xdr:colOff>
      <xdr:row>21</xdr:row>
      <xdr:rowOff>83820</xdr:rowOff>
    </xdr:to>
    <xdr:graphicFrame macro="">
      <xdr:nvGraphicFramePr>
        <xdr:cNvPr id="2" name="Chart 1">
          <a:extLst>
            <a:ext uri="{FF2B5EF4-FFF2-40B4-BE49-F238E27FC236}">
              <a16:creationId xmlns:a16="http://schemas.microsoft.com/office/drawing/2014/main" id="{163701B7-E03F-29F7-0E3C-6A28AF05FE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601980</xdr:colOff>
      <xdr:row>6</xdr:row>
      <xdr:rowOff>83820</xdr:rowOff>
    </xdr:from>
    <xdr:to>
      <xdr:col>11</xdr:col>
      <xdr:colOff>297180</xdr:colOff>
      <xdr:row>21</xdr:row>
      <xdr:rowOff>83820</xdr:rowOff>
    </xdr:to>
    <xdr:graphicFrame macro="">
      <xdr:nvGraphicFramePr>
        <xdr:cNvPr id="2" name="Chart 1">
          <a:extLst>
            <a:ext uri="{FF2B5EF4-FFF2-40B4-BE49-F238E27FC236}">
              <a16:creationId xmlns:a16="http://schemas.microsoft.com/office/drawing/2014/main" id="{92B275E2-F574-6C0F-909E-5143ABCA8A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60960</xdr:colOff>
      <xdr:row>6</xdr:row>
      <xdr:rowOff>83820</xdr:rowOff>
    </xdr:from>
    <xdr:to>
      <xdr:col>11</xdr:col>
      <xdr:colOff>365760</xdr:colOff>
      <xdr:row>21</xdr:row>
      <xdr:rowOff>83820</xdr:rowOff>
    </xdr:to>
    <xdr:graphicFrame macro="">
      <xdr:nvGraphicFramePr>
        <xdr:cNvPr id="2" name="Chart 1">
          <a:extLst>
            <a:ext uri="{FF2B5EF4-FFF2-40B4-BE49-F238E27FC236}">
              <a16:creationId xmlns:a16="http://schemas.microsoft.com/office/drawing/2014/main" id="{47AB7391-2882-14AA-0078-4F17122674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571500</xdr:colOff>
      <xdr:row>3</xdr:row>
      <xdr:rowOff>45720</xdr:rowOff>
    </xdr:from>
    <xdr:to>
      <xdr:col>8</xdr:col>
      <xdr:colOff>556260</xdr:colOff>
      <xdr:row>16</xdr:row>
      <xdr:rowOff>175260</xdr:rowOff>
    </xdr:to>
    <xdr:graphicFrame macro="">
      <xdr:nvGraphicFramePr>
        <xdr:cNvPr id="2" name="Chart 1">
          <a:extLst>
            <a:ext uri="{FF2B5EF4-FFF2-40B4-BE49-F238E27FC236}">
              <a16:creationId xmlns:a16="http://schemas.microsoft.com/office/drawing/2014/main" id="{AD1D9674-1965-CFD5-C076-C432C66877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373380</xdr:colOff>
      <xdr:row>6</xdr:row>
      <xdr:rowOff>87630</xdr:rowOff>
    </xdr:from>
    <xdr:to>
      <xdr:col>11</xdr:col>
      <xdr:colOff>68580</xdr:colOff>
      <xdr:row>21</xdr:row>
      <xdr:rowOff>87630</xdr:rowOff>
    </xdr:to>
    <xdr:graphicFrame macro="">
      <xdr:nvGraphicFramePr>
        <xdr:cNvPr id="2" name="Chart 1">
          <a:extLst>
            <a:ext uri="{FF2B5EF4-FFF2-40B4-BE49-F238E27FC236}">
              <a16:creationId xmlns:a16="http://schemas.microsoft.com/office/drawing/2014/main" id="{717A3082-5A8C-0BBC-2C7B-B7984E97AB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190500</xdr:colOff>
      <xdr:row>8</xdr:row>
      <xdr:rowOff>99060</xdr:rowOff>
    </xdr:from>
    <xdr:to>
      <xdr:col>3</xdr:col>
      <xdr:colOff>213360</xdr:colOff>
      <xdr:row>12</xdr:row>
      <xdr:rowOff>167640</xdr:rowOff>
    </xdr:to>
    <xdr:sp macro="" textlink="">
      <xdr:nvSpPr>
        <xdr:cNvPr id="3" name="Rectangle: Rounded Corners 2">
          <a:extLst>
            <a:ext uri="{FF2B5EF4-FFF2-40B4-BE49-F238E27FC236}">
              <a16:creationId xmlns:a16="http://schemas.microsoft.com/office/drawing/2014/main" id="{9ECE3BC6-DFBD-9894-296B-B37A8B0F77D8}"/>
            </a:ext>
          </a:extLst>
        </xdr:cNvPr>
        <xdr:cNvSpPr/>
      </xdr:nvSpPr>
      <xdr:spPr>
        <a:xfrm>
          <a:off x="1729740" y="1562100"/>
          <a:ext cx="1242060" cy="800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editAs="absolute">
    <xdr:from>
      <xdr:col>16</xdr:col>
      <xdr:colOff>350520</xdr:colOff>
      <xdr:row>154</xdr:row>
      <xdr:rowOff>111759</xdr:rowOff>
    </xdr:from>
    <xdr:to>
      <xdr:col>17</xdr:col>
      <xdr:colOff>1082040</xdr:colOff>
      <xdr:row>216</xdr:row>
      <xdr:rowOff>162560</xdr:rowOff>
    </xdr:to>
    <mc:AlternateContent xmlns:mc="http://schemas.openxmlformats.org/markup-compatibility/2006" xmlns:sle15="http://schemas.microsoft.com/office/drawing/2012/slicer">
      <mc:Choice Requires="sle15">
        <xdr:graphicFrame macro="">
          <xdr:nvGraphicFramePr>
            <xdr:cNvPr id="2" name="Region">
              <a:extLst>
                <a:ext uri="{FF2B5EF4-FFF2-40B4-BE49-F238E27FC236}">
                  <a16:creationId xmlns:a16="http://schemas.microsoft.com/office/drawing/2014/main" id="{85692FCA-87C5-55FC-7D60-756944664A2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481560" y="1940559"/>
              <a:ext cx="1828800" cy="1330961"/>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16</xdr:col>
      <xdr:colOff>414020</xdr:colOff>
      <xdr:row>229</xdr:row>
      <xdr:rowOff>119381</xdr:rowOff>
    </xdr:from>
    <xdr:to>
      <xdr:col>18</xdr:col>
      <xdr:colOff>48260</xdr:colOff>
      <xdr:row>305</xdr:row>
      <xdr:rowOff>101600</xdr:rowOff>
    </xdr:to>
    <mc:AlternateContent xmlns:mc="http://schemas.openxmlformats.org/markup-compatibility/2006" xmlns:sle15="http://schemas.microsoft.com/office/drawing/2012/slicer">
      <mc:Choice Requires="sle15">
        <xdr:graphicFrame macro="">
          <xdr:nvGraphicFramePr>
            <xdr:cNvPr id="3" name="Customer_Segment">
              <a:extLst>
                <a:ext uri="{FF2B5EF4-FFF2-40B4-BE49-F238E27FC236}">
                  <a16:creationId xmlns:a16="http://schemas.microsoft.com/office/drawing/2014/main" id="{5474DF85-C0C4-D7C2-2841-DF1282CFBD1B}"/>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12545060" y="3594101"/>
              <a:ext cx="1828800" cy="144525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16</xdr:col>
      <xdr:colOff>355600</xdr:colOff>
      <xdr:row>38</xdr:row>
      <xdr:rowOff>40641</xdr:rowOff>
    </xdr:from>
    <xdr:to>
      <xdr:col>17</xdr:col>
      <xdr:colOff>1087120</xdr:colOff>
      <xdr:row>154</xdr:row>
      <xdr:rowOff>10161</xdr:rowOff>
    </xdr:to>
    <mc:AlternateContent xmlns:mc="http://schemas.openxmlformats.org/markup-compatibility/2006" xmlns:sle15="http://schemas.microsoft.com/office/drawing/2012/slicer">
      <mc:Choice Requires="sle15">
        <xdr:graphicFrame macro="">
          <xdr:nvGraphicFramePr>
            <xdr:cNvPr id="4" name="Category">
              <a:extLst>
                <a:ext uri="{FF2B5EF4-FFF2-40B4-BE49-F238E27FC236}">
                  <a16:creationId xmlns:a16="http://schemas.microsoft.com/office/drawing/2014/main" id="{4E8FB4FD-9C76-B2CA-F42F-29E3BC8E705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486640" y="589281"/>
              <a:ext cx="1828800" cy="124968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rag Gupta" refreshedDate="46057.569642245369" createdVersion="8" refreshedVersion="8" minRefreshableVersion="3" recordCount="300" xr:uid="{77AB6DC8-B528-4D8D-9735-FD034BAC933E}">
  <cacheSource type="worksheet">
    <worksheetSource name="Table1"/>
  </cacheSource>
  <cacheFields count="15">
    <cacheField name="Order_ID" numFmtId="0">
      <sharedItems containsSemiMixedTypes="0" containsString="0" containsNumber="1" containsInteger="1" minValue="8001" maxValue="8300"/>
    </cacheField>
    <cacheField name="Order_Date" numFmtId="14">
      <sharedItems containsSemiMixedTypes="0" containsNonDate="0" containsDate="1" containsString="0" minDate="2024-01-01T00:00:00" maxDate="2024-06-30T00:00:00"/>
    </cacheField>
    <cacheField name="Ship_Date" numFmtId="0">
      <sharedItems/>
    </cacheField>
    <cacheField name="Region" numFmtId="0">
      <sharedItems count="4">
        <s v="South"/>
        <s v="West"/>
        <s v="East"/>
        <s v="North"/>
      </sharedItems>
    </cacheField>
    <cacheField name="State" numFmtId="0">
      <sharedItems count="8">
        <s v="Tamil Nadu"/>
        <s v="Gujarat"/>
        <s v="Odisha"/>
        <s v="Karnataka"/>
        <s v="Delhi"/>
        <s v="West Bengal"/>
        <s v="UP"/>
        <s v="Maharashtra"/>
      </sharedItems>
    </cacheField>
    <cacheField name="City" numFmtId="0">
      <sharedItems count="8">
        <s v="Chennai"/>
        <s v="Ahmedabad"/>
        <s v="Bhubaneswar"/>
        <s v="Bangalore"/>
        <s v="Delhi"/>
        <s v="Kolkata"/>
        <s v="Noida"/>
        <s v="Mumbai"/>
      </sharedItems>
    </cacheField>
    <cacheField name="Customer_Segment" numFmtId="0">
      <sharedItems count="3">
        <s v="Home Office"/>
        <s v="Corporate"/>
        <s v="Consumer"/>
      </sharedItems>
    </cacheField>
    <cacheField name="Category" numFmtId="0">
      <sharedItems count="3">
        <s v="Office Supplies"/>
        <s v="Electronics"/>
        <s v="Furniture"/>
      </sharedItems>
    </cacheField>
    <cacheField name="Sub_Category" numFmtId="0">
      <sharedItems/>
    </cacheField>
    <cacheField name="Sales" numFmtId="0">
      <sharedItems containsSemiMixedTypes="0" containsString="0" containsNumber="1" containsInteger="1" minValue="1177" maxValue="79390"/>
    </cacheField>
    <cacheField name="Quantity" numFmtId="0">
      <sharedItems containsSemiMixedTypes="0" containsString="0" containsNumber="1" containsInteger="1" minValue="1" maxValue="20" count="20">
        <n v="9"/>
        <n v="10"/>
        <n v="19"/>
        <n v="15"/>
        <n v="18"/>
        <n v="8"/>
        <n v="5"/>
        <n v="17"/>
        <n v="6"/>
        <n v="20"/>
        <n v="2"/>
        <n v="13"/>
        <n v="16"/>
        <n v="14"/>
        <n v="7"/>
        <n v="1"/>
        <n v="4"/>
        <n v="11"/>
        <n v="12"/>
        <n v="3"/>
      </sharedItems>
    </cacheField>
    <cacheField name="Discount" numFmtId="0">
      <sharedItems containsSemiMixedTypes="0" containsString="0" containsNumber="1" minValue="0" maxValue="0.3"/>
    </cacheField>
    <cacheField name="Profit" numFmtId="0">
      <sharedItems containsSemiMixedTypes="0" containsString="0" containsNumber="1" containsInteger="1" minValue="134" maxValue="18647"/>
    </cacheField>
    <cacheField name="Month" numFmtId="0">
      <sharedItems count="6">
        <s v="Mar"/>
        <s v="Jun"/>
        <s v="Feb"/>
        <s v="Apr"/>
        <s v="May"/>
        <s v="Jan"/>
      </sharedItems>
    </cacheField>
    <cacheField name="Year" numFmtId="0">
      <sharedItems containsSemiMixedTypes="0" containsString="0" containsNumber="1" containsInteger="1" minValue="2024" maxValue="2024"/>
    </cacheField>
  </cacheFields>
  <extLst>
    <ext xmlns:x14="http://schemas.microsoft.com/office/spreadsheetml/2009/9/main" uri="{725AE2AE-9491-48be-B2B4-4EB974FC3084}">
      <x14:pivotCacheDefinition pivotCacheId="75857212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rag Gupta" refreshedDate="46057.604018634258" createdVersion="8" refreshedVersion="8" minRefreshableVersion="3" recordCount="1" xr:uid="{C0A69AFF-BFB8-4BC8-AE61-11AFB39E9025}">
  <cacheSource type="worksheet">
    <worksheetSource ref="Q1:R2" sheet="Sales_Data"/>
  </cacheSource>
  <cacheFields count="2">
    <cacheField name="TOTAL QUANTITY" numFmtId="0">
      <sharedItems containsSemiMixedTypes="0" containsString="0" containsNumber="1" containsInteger="1" minValue="3200" maxValue="3200"/>
    </cacheField>
    <cacheField name="TOTAL PROFIT" numFmtId="0">
      <sharedItems containsSemiMixedTypes="0" containsString="0" containsNumber="1" containsInteger="1" minValue="1777154" maxValue="177715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8001"/>
    <d v="2024-03-15T00:00:00"/>
    <s v="2024-03-20"/>
    <x v="0"/>
    <x v="0"/>
    <x v="0"/>
    <x v="0"/>
    <x v="0"/>
    <s v="Pen"/>
    <n v="57960"/>
    <x v="0"/>
    <n v="0.3"/>
    <n v="8569"/>
    <x v="0"/>
    <n v="2024"/>
  </r>
  <r>
    <n v="8002"/>
    <d v="2024-06-28T00:00:00"/>
    <s v="2024-06-30"/>
    <x v="0"/>
    <x v="0"/>
    <x v="0"/>
    <x v="0"/>
    <x v="1"/>
    <s v="Headphones"/>
    <n v="50678"/>
    <x v="1"/>
    <n v="0.17"/>
    <n v="6629"/>
    <x v="1"/>
    <n v="2024"/>
  </r>
  <r>
    <n v="8003"/>
    <d v="2024-06-02T00:00:00"/>
    <s v="2024-06-08"/>
    <x v="1"/>
    <x v="1"/>
    <x v="1"/>
    <x v="0"/>
    <x v="1"/>
    <s v="Headphones"/>
    <n v="61186"/>
    <x v="2"/>
    <n v="0.17"/>
    <n v="3325"/>
    <x v="1"/>
    <n v="2024"/>
  </r>
  <r>
    <n v="8004"/>
    <d v="2024-02-12T00:00:00"/>
    <s v="2024-02-16"/>
    <x v="0"/>
    <x v="0"/>
    <x v="0"/>
    <x v="1"/>
    <x v="0"/>
    <s v="Pen"/>
    <n v="12548"/>
    <x v="3"/>
    <n v="0.04"/>
    <n v="1393"/>
    <x v="2"/>
    <n v="2024"/>
  </r>
  <r>
    <n v="8005"/>
    <d v="2024-04-16T00:00:00"/>
    <s v="2024-04-19"/>
    <x v="2"/>
    <x v="2"/>
    <x v="2"/>
    <x v="0"/>
    <x v="1"/>
    <s v="Laptop"/>
    <n v="54488"/>
    <x v="4"/>
    <n v="0.1"/>
    <n v="12735"/>
    <x v="3"/>
    <n v="2024"/>
  </r>
  <r>
    <n v="8006"/>
    <d v="2024-05-09T00:00:00"/>
    <s v="2024-05-10"/>
    <x v="2"/>
    <x v="2"/>
    <x v="2"/>
    <x v="1"/>
    <x v="0"/>
    <s v="File"/>
    <n v="16273"/>
    <x v="5"/>
    <n v="0.14000000000000001"/>
    <n v="3414"/>
    <x v="4"/>
    <n v="2024"/>
  </r>
  <r>
    <n v="8007"/>
    <d v="2024-03-04T00:00:00"/>
    <s v="2024-03-06"/>
    <x v="0"/>
    <x v="3"/>
    <x v="3"/>
    <x v="1"/>
    <x v="2"/>
    <s v="Sofa"/>
    <n v="44505"/>
    <x v="6"/>
    <n v="0.09"/>
    <n v="8633"/>
    <x v="0"/>
    <n v="2024"/>
  </r>
  <r>
    <n v="8008"/>
    <d v="2024-03-20T00:00:00"/>
    <s v="2024-03-27"/>
    <x v="0"/>
    <x v="3"/>
    <x v="3"/>
    <x v="0"/>
    <x v="2"/>
    <s v="Chair"/>
    <n v="27403"/>
    <x v="0"/>
    <n v="0.2"/>
    <n v="3404"/>
    <x v="0"/>
    <n v="2024"/>
  </r>
  <r>
    <n v="8009"/>
    <d v="2024-04-13T00:00:00"/>
    <s v="2024-04-20"/>
    <x v="3"/>
    <x v="4"/>
    <x v="4"/>
    <x v="2"/>
    <x v="0"/>
    <s v="File"/>
    <n v="14895"/>
    <x v="0"/>
    <n v="0.04"/>
    <n v="1412"/>
    <x v="3"/>
    <n v="2024"/>
  </r>
  <r>
    <n v="8010"/>
    <d v="2024-05-30T00:00:00"/>
    <s v="2024-06-03"/>
    <x v="1"/>
    <x v="1"/>
    <x v="1"/>
    <x v="1"/>
    <x v="2"/>
    <s v="Chair"/>
    <n v="73357"/>
    <x v="4"/>
    <n v="0.3"/>
    <n v="16332"/>
    <x v="4"/>
    <n v="2024"/>
  </r>
  <r>
    <n v="8011"/>
    <d v="2024-06-19T00:00:00"/>
    <s v="2024-06-22"/>
    <x v="2"/>
    <x v="5"/>
    <x v="5"/>
    <x v="2"/>
    <x v="0"/>
    <s v="File"/>
    <n v="15522"/>
    <x v="7"/>
    <n v="0.03"/>
    <n v="3352"/>
    <x v="1"/>
    <n v="2024"/>
  </r>
  <r>
    <n v="8012"/>
    <d v="2024-03-18T00:00:00"/>
    <s v="2024-03-19"/>
    <x v="0"/>
    <x v="0"/>
    <x v="0"/>
    <x v="2"/>
    <x v="0"/>
    <s v="Pen"/>
    <n v="58295"/>
    <x v="8"/>
    <n v="0.04"/>
    <n v="7736"/>
    <x v="0"/>
    <n v="2024"/>
  </r>
  <r>
    <n v="8013"/>
    <d v="2024-01-08T00:00:00"/>
    <s v="2024-01-09"/>
    <x v="1"/>
    <x v="1"/>
    <x v="1"/>
    <x v="2"/>
    <x v="0"/>
    <s v="File"/>
    <n v="51836"/>
    <x v="9"/>
    <n v="0.28999999999999998"/>
    <n v="5456"/>
    <x v="5"/>
    <n v="2024"/>
  </r>
  <r>
    <n v="8014"/>
    <d v="2024-05-02T00:00:00"/>
    <s v="2024-05-08"/>
    <x v="2"/>
    <x v="5"/>
    <x v="5"/>
    <x v="0"/>
    <x v="0"/>
    <s v="Pen"/>
    <n v="20272"/>
    <x v="10"/>
    <n v="0.1"/>
    <n v="3622"/>
    <x v="4"/>
    <n v="2024"/>
  </r>
  <r>
    <n v="8015"/>
    <d v="2024-05-05T00:00:00"/>
    <s v="2024-05-06"/>
    <x v="0"/>
    <x v="0"/>
    <x v="0"/>
    <x v="2"/>
    <x v="1"/>
    <s v="Laptop"/>
    <n v="45519"/>
    <x v="11"/>
    <n v="0.04"/>
    <n v="2681"/>
    <x v="4"/>
    <n v="2024"/>
  </r>
  <r>
    <n v="8016"/>
    <d v="2024-06-17T00:00:00"/>
    <s v="2024-06-19"/>
    <x v="2"/>
    <x v="2"/>
    <x v="2"/>
    <x v="1"/>
    <x v="0"/>
    <s v="Pen"/>
    <n v="52720"/>
    <x v="10"/>
    <n v="0.14000000000000001"/>
    <n v="12229"/>
    <x v="1"/>
    <n v="2024"/>
  </r>
  <r>
    <n v="8017"/>
    <d v="2024-04-17T00:00:00"/>
    <s v="2024-04-19"/>
    <x v="3"/>
    <x v="6"/>
    <x v="6"/>
    <x v="2"/>
    <x v="1"/>
    <s v="Mobile"/>
    <n v="77147"/>
    <x v="5"/>
    <n v="0.14000000000000001"/>
    <n v="14048"/>
    <x v="3"/>
    <n v="2024"/>
  </r>
  <r>
    <n v="8018"/>
    <d v="2024-04-29T00:00:00"/>
    <s v="2024-05-06"/>
    <x v="1"/>
    <x v="7"/>
    <x v="7"/>
    <x v="1"/>
    <x v="2"/>
    <s v="Chair"/>
    <n v="71979"/>
    <x v="12"/>
    <n v="0.17"/>
    <n v="17954"/>
    <x v="3"/>
    <n v="2024"/>
  </r>
  <r>
    <n v="8019"/>
    <d v="2024-03-27T00:00:00"/>
    <s v="2024-04-01"/>
    <x v="0"/>
    <x v="0"/>
    <x v="0"/>
    <x v="0"/>
    <x v="0"/>
    <s v="Pen"/>
    <n v="39863"/>
    <x v="13"/>
    <n v="0.02"/>
    <n v="4180"/>
    <x v="0"/>
    <n v="2024"/>
  </r>
  <r>
    <n v="8020"/>
    <d v="2024-04-08T00:00:00"/>
    <s v="2024-04-15"/>
    <x v="0"/>
    <x v="0"/>
    <x v="0"/>
    <x v="0"/>
    <x v="0"/>
    <s v="Pen"/>
    <n v="35115"/>
    <x v="3"/>
    <n v="0.03"/>
    <n v="7927"/>
    <x v="3"/>
    <n v="2024"/>
  </r>
  <r>
    <n v="8021"/>
    <d v="2024-06-04T00:00:00"/>
    <s v="2024-06-06"/>
    <x v="3"/>
    <x v="6"/>
    <x v="6"/>
    <x v="0"/>
    <x v="1"/>
    <s v="Mobile"/>
    <n v="73297"/>
    <x v="9"/>
    <n v="0.15"/>
    <n v="16001"/>
    <x v="1"/>
    <n v="2024"/>
  </r>
  <r>
    <n v="8022"/>
    <d v="2024-01-03T00:00:00"/>
    <s v="2024-01-09"/>
    <x v="2"/>
    <x v="5"/>
    <x v="5"/>
    <x v="0"/>
    <x v="0"/>
    <s v="Pen"/>
    <n v="55233"/>
    <x v="3"/>
    <n v="0.21"/>
    <n v="11818"/>
    <x v="5"/>
    <n v="2024"/>
  </r>
  <r>
    <n v="8023"/>
    <d v="2024-01-15T00:00:00"/>
    <s v="2024-01-16"/>
    <x v="1"/>
    <x v="7"/>
    <x v="7"/>
    <x v="0"/>
    <x v="0"/>
    <s v="Pen"/>
    <n v="49076"/>
    <x v="3"/>
    <n v="0.21"/>
    <n v="3667"/>
    <x v="5"/>
    <n v="2024"/>
  </r>
  <r>
    <n v="8024"/>
    <d v="2024-06-20T00:00:00"/>
    <s v="2024-06-27"/>
    <x v="3"/>
    <x v="6"/>
    <x v="6"/>
    <x v="2"/>
    <x v="2"/>
    <s v="Chair"/>
    <n v="69309"/>
    <x v="13"/>
    <n v="0.26"/>
    <n v="13163"/>
    <x v="1"/>
    <n v="2024"/>
  </r>
  <r>
    <n v="8025"/>
    <d v="2024-06-25T00:00:00"/>
    <s v="2024-06-28"/>
    <x v="1"/>
    <x v="1"/>
    <x v="1"/>
    <x v="0"/>
    <x v="1"/>
    <s v="Laptop"/>
    <n v="3543"/>
    <x v="14"/>
    <n v="0.28999999999999998"/>
    <n v="387"/>
    <x v="1"/>
    <n v="2024"/>
  </r>
  <r>
    <n v="8026"/>
    <d v="2024-02-01T00:00:00"/>
    <s v="2024-02-04"/>
    <x v="2"/>
    <x v="5"/>
    <x v="5"/>
    <x v="1"/>
    <x v="0"/>
    <s v="Paper"/>
    <n v="48483"/>
    <x v="0"/>
    <n v="0.11"/>
    <n v="4972"/>
    <x v="2"/>
    <n v="2024"/>
  </r>
  <r>
    <n v="8027"/>
    <d v="2024-01-25T00:00:00"/>
    <s v="2024-01-30"/>
    <x v="2"/>
    <x v="2"/>
    <x v="2"/>
    <x v="2"/>
    <x v="0"/>
    <s v="File"/>
    <n v="1804"/>
    <x v="7"/>
    <n v="0.22"/>
    <n v="331"/>
    <x v="5"/>
    <n v="2024"/>
  </r>
  <r>
    <n v="8028"/>
    <d v="2024-05-18T00:00:00"/>
    <s v="2024-05-24"/>
    <x v="1"/>
    <x v="1"/>
    <x v="1"/>
    <x v="0"/>
    <x v="2"/>
    <s v="Table"/>
    <n v="76661"/>
    <x v="15"/>
    <n v="0.19"/>
    <n v="10836"/>
    <x v="4"/>
    <n v="2024"/>
  </r>
  <r>
    <n v="8029"/>
    <d v="2024-01-11T00:00:00"/>
    <s v="2024-01-14"/>
    <x v="2"/>
    <x v="2"/>
    <x v="2"/>
    <x v="2"/>
    <x v="0"/>
    <s v="Pen"/>
    <n v="72190"/>
    <x v="10"/>
    <n v="0.28999999999999998"/>
    <n v="7564"/>
    <x v="5"/>
    <n v="2024"/>
  </r>
  <r>
    <n v="8030"/>
    <d v="2024-02-17T00:00:00"/>
    <s v="2024-02-23"/>
    <x v="1"/>
    <x v="1"/>
    <x v="1"/>
    <x v="2"/>
    <x v="1"/>
    <s v="Mobile"/>
    <n v="51906"/>
    <x v="11"/>
    <n v="0.15"/>
    <n v="5907"/>
    <x v="2"/>
    <n v="2024"/>
  </r>
  <r>
    <n v="8031"/>
    <d v="2024-02-21T00:00:00"/>
    <s v="2024-02-25"/>
    <x v="0"/>
    <x v="3"/>
    <x v="3"/>
    <x v="1"/>
    <x v="2"/>
    <s v="Chair"/>
    <n v="2430"/>
    <x v="7"/>
    <n v="0.06"/>
    <n v="439"/>
    <x v="2"/>
    <n v="2024"/>
  </r>
  <r>
    <n v="8032"/>
    <d v="2024-01-29T00:00:00"/>
    <s v="2024-02-04"/>
    <x v="0"/>
    <x v="3"/>
    <x v="3"/>
    <x v="0"/>
    <x v="0"/>
    <s v="Paper"/>
    <n v="1177"/>
    <x v="9"/>
    <n v="0.21"/>
    <n v="191"/>
    <x v="5"/>
    <n v="2024"/>
  </r>
  <r>
    <n v="8033"/>
    <d v="2024-03-25T00:00:00"/>
    <s v="2024-03-31"/>
    <x v="0"/>
    <x v="0"/>
    <x v="0"/>
    <x v="1"/>
    <x v="2"/>
    <s v="Table"/>
    <n v="23803"/>
    <x v="11"/>
    <n v="0.24"/>
    <n v="1720"/>
    <x v="0"/>
    <n v="2024"/>
  </r>
  <r>
    <n v="8034"/>
    <d v="2024-02-23T00:00:00"/>
    <s v="2024-02-25"/>
    <x v="3"/>
    <x v="6"/>
    <x v="6"/>
    <x v="0"/>
    <x v="0"/>
    <s v="Pen"/>
    <n v="79390"/>
    <x v="2"/>
    <n v="0.19"/>
    <n v="9447"/>
    <x v="2"/>
    <n v="2024"/>
  </r>
  <r>
    <n v="8035"/>
    <d v="2024-03-04T00:00:00"/>
    <s v="2024-03-10"/>
    <x v="3"/>
    <x v="4"/>
    <x v="4"/>
    <x v="1"/>
    <x v="1"/>
    <s v="Mobile"/>
    <n v="51130"/>
    <x v="16"/>
    <n v="0.19"/>
    <n v="7737"/>
    <x v="0"/>
    <n v="2024"/>
  </r>
  <r>
    <n v="8036"/>
    <d v="2024-06-09T00:00:00"/>
    <s v="2024-06-12"/>
    <x v="0"/>
    <x v="0"/>
    <x v="0"/>
    <x v="1"/>
    <x v="2"/>
    <s v="Table"/>
    <n v="73852"/>
    <x v="16"/>
    <n v="0.11"/>
    <n v="18225"/>
    <x v="1"/>
    <n v="2024"/>
  </r>
  <r>
    <n v="8037"/>
    <d v="2024-03-25T00:00:00"/>
    <s v="2024-03-28"/>
    <x v="2"/>
    <x v="2"/>
    <x v="2"/>
    <x v="1"/>
    <x v="2"/>
    <s v="Sofa"/>
    <n v="79191"/>
    <x v="12"/>
    <n v="0.16"/>
    <n v="7198"/>
    <x v="0"/>
    <n v="2024"/>
  </r>
  <r>
    <n v="8038"/>
    <d v="2024-03-20T00:00:00"/>
    <s v="2024-03-24"/>
    <x v="1"/>
    <x v="1"/>
    <x v="1"/>
    <x v="1"/>
    <x v="2"/>
    <s v="Sofa"/>
    <n v="71226"/>
    <x v="17"/>
    <n v="0.06"/>
    <n v="9916"/>
    <x v="0"/>
    <n v="2024"/>
  </r>
  <r>
    <n v="8039"/>
    <d v="2024-04-10T00:00:00"/>
    <s v="2024-04-17"/>
    <x v="2"/>
    <x v="2"/>
    <x v="2"/>
    <x v="1"/>
    <x v="0"/>
    <s v="Paper"/>
    <n v="21586"/>
    <x v="8"/>
    <n v="0.22"/>
    <n v="3107"/>
    <x v="3"/>
    <n v="2024"/>
  </r>
  <r>
    <n v="8040"/>
    <d v="2024-01-24T00:00:00"/>
    <s v="2024-01-29"/>
    <x v="2"/>
    <x v="5"/>
    <x v="5"/>
    <x v="0"/>
    <x v="2"/>
    <s v="Table"/>
    <n v="28799"/>
    <x v="14"/>
    <n v="0.13"/>
    <n v="4111"/>
    <x v="5"/>
    <n v="2024"/>
  </r>
  <r>
    <n v="8041"/>
    <d v="2024-02-17T00:00:00"/>
    <s v="2024-02-23"/>
    <x v="0"/>
    <x v="3"/>
    <x v="3"/>
    <x v="1"/>
    <x v="0"/>
    <s v="File"/>
    <n v="65351"/>
    <x v="15"/>
    <n v="0.13"/>
    <n v="15130"/>
    <x v="2"/>
    <n v="2024"/>
  </r>
  <r>
    <n v="8042"/>
    <d v="2024-04-14T00:00:00"/>
    <s v="2024-04-16"/>
    <x v="2"/>
    <x v="2"/>
    <x v="2"/>
    <x v="1"/>
    <x v="0"/>
    <s v="Pen"/>
    <n v="74869"/>
    <x v="5"/>
    <n v="0.24"/>
    <n v="17282"/>
    <x v="3"/>
    <n v="2024"/>
  </r>
  <r>
    <n v="8043"/>
    <d v="2024-03-03T00:00:00"/>
    <s v="2024-03-07"/>
    <x v="3"/>
    <x v="6"/>
    <x v="6"/>
    <x v="0"/>
    <x v="2"/>
    <s v="Sofa"/>
    <n v="63218"/>
    <x v="9"/>
    <n v="0.19"/>
    <n v="4773"/>
    <x v="0"/>
    <n v="2024"/>
  </r>
  <r>
    <n v="8044"/>
    <d v="2024-06-09T00:00:00"/>
    <s v="2024-06-12"/>
    <x v="1"/>
    <x v="1"/>
    <x v="1"/>
    <x v="1"/>
    <x v="0"/>
    <s v="File"/>
    <n v="1228"/>
    <x v="12"/>
    <n v="0.21"/>
    <n v="231"/>
    <x v="1"/>
    <n v="2024"/>
  </r>
  <r>
    <n v="8045"/>
    <d v="2024-01-11T00:00:00"/>
    <s v="2024-01-15"/>
    <x v="3"/>
    <x v="6"/>
    <x v="6"/>
    <x v="0"/>
    <x v="0"/>
    <s v="Pen"/>
    <n v="23837"/>
    <x v="4"/>
    <n v="0.2"/>
    <n v="1670"/>
    <x v="5"/>
    <n v="2024"/>
  </r>
  <r>
    <n v="8046"/>
    <d v="2024-03-30T00:00:00"/>
    <s v="2024-04-05"/>
    <x v="1"/>
    <x v="1"/>
    <x v="1"/>
    <x v="0"/>
    <x v="0"/>
    <s v="File"/>
    <n v="45951"/>
    <x v="18"/>
    <n v="0.11"/>
    <n v="11070"/>
    <x v="0"/>
    <n v="2024"/>
  </r>
  <r>
    <n v="8047"/>
    <d v="2024-05-16T00:00:00"/>
    <s v="2024-05-17"/>
    <x v="3"/>
    <x v="4"/>
    <x v="4"/>
    <x v="1"/>
    <x v="0"/>
    <s v="Pen"/>
    <n v="39591"/>
    <x v="7"/>
    <n v="0.21"/>
    <n v="5404"/>
    <x v="4"/>
    <n v="2024"/>
  </r>
  <r>
    <n v="8048"/>
    <d v="2024-02-13T00:00:00"/>
    <s v="2024-02-20"/>
    <x v="3"/>
    <x v="4"/>
    <x v="4"/>
    <x v="1"/>
    <x v="2"/>
    <s v="Table"/>
    <n v="63635"/>
    <x v="7"/>
    <n v="0.22"/>
    <n v="5686"/>
    <x v="2"/>
    <n v="2024"/>
  </r>
  <r>
    <n v="8049"/>
    <d v="2024-04-04T00:00:00"/>
    <s v="2024-04-09"/>
    <x v="1"/>
    <x v="7"/>
    <x v="7"/>
    <x v="0"/>
    <x v="1"/>
    <s v="Headphones"/>
    <n v="59603"/>
    <x v="12"/>
    <n v="0.24"/>
    <n v="8786"/>
    <x v="3"/>
    <n v="2024"/>
  </r>
  <r>
    <n v="8050"/>
    <d v="2024-06-29T00:00:00"/>
    <s v="2024-06-30"/>
    <x v="1"/>
    <x v="1"/>
    <x v="1"/>
    <x v="0"/>
    <x v="0"/>
    <s v="Paper"/>
    <n v="17401"/>
    <x v="1"/>
    <n v="0.17"/>
    <n v="952"/>
    <x v="1"/>
    <n v="2024"/>
  </r>
  <r>
    <n v="8051"/>
    <d v="2024-02-16T00:00:00"/>
    <s v="2024-02-23"/>
    <x v="3"/>
    <x v="4"/>
    <x v="4"/>
    <x v="2"/>
    <x v="0"/>
    <s v="Paper"/>
    <n v="70951"/>
    <x v="10"/>
    <n v="0.05"/>
    <n v="5218"/>
    <x v="2"/>
    <n v="2024"/>
  </r>
  <r>
    <n v="8052"/>
    <d v="2024-04-17T00:00:00"/>
    <s v="2024-04-24"/>
    <x v="1"/>
    <x v="7"/>
    <x v="7"/>
    <x v="2"/>
    <x v="2"/>
    <s v="Chair"/>
    <n v="30827"/>
    <x v="4"/>
    <n v="0.01"/>
    <n v="7238"/>
    <x v="3"/>
    <n v="2024"/>
  </r>
  <r>
    <n v="8053"/>
    <d v="2024-02-22T00:00:00"/>
    <s v="2024-02-25"/>
    <x v="0"/>
    <x v="3"/>
    <x v="3"/>
    <x v="0"/>
    <x v="2"/>
    <s v="Sofa"/>
    <n v="70194"/>
    <x v="9"/>
    <n v="0.16"/>
    <n v="7534"/>
    <x v="2"/>
    <n v="2024"/>
  </r>
  <r>
    <n v="8054"/>
    <d v="2024-04-14T00:00:00"/>
    <s v="2024-04-20"/>
    <x v="0"/>
    <x v="3"/>
    <x v="3"/>
    <x v="1"/>
    <x v="2"/>
    <s v="Chair"/>
    <n v="58859"/>
    <x v="17"/>
    <n v="0.01"/>
    <n v="10699"/>
    <x v="3"/>
    <n v="2024"/>
  </r>
  <r>
    <n v="8055"/>
    <d v="2024-06-17T00:00:00"/>
    <s v="2024-06-22"/>
    <x v="2"/>
    <x v="2"/>
    <x v="2"/>
    <x v="2"/>
    <x v="2"/>
    <s v="Sofa"/>
    <n v="60612"/>
    <x v="8"/>
    <n v="0.12"/>
    <n v="6283"/>
    <x v="1"/>
    <n v="2024"/>
  </r>
  <r>
    <n v="8056"/>
    <d v="2024-01-10T00:00:00"/>
    <s v="2024-01-16"/>
    <x v="1"/>
    <x v="1"/>
    <x v="1"/>
    <x v="0"/>
    <x v="1"/>
    <s v="Mobile"/>
    <n v="3668"/>
    <x v="18"/>
    <n v="0.13"/>
    <n v="874"/>
    <x v="5"/>
    <n v="2024"/>
  </r>
  <r>
    <n v="8057"/>
    <d v="2024-01-20T00:00:00"/>
    <s v="2024-01-21"/>
    <x v="3"/>
    <x v="6"/>
    <x v="6"/>
    <x v="1"/>
    <x v="2"/>
    <s v="Sofa"/>
    <n v="42273"/>
    <x v="16"/>
    <n v="0.26"/>
    <n v="9375"/>
    <x v="5"/>
    <n v="2024"/>
  </r>
  <r>
    <n v="8058"/>
    <d v="2024-04-02T00:00:00"/>
    <s v="2024-04-03"/>
    <x v="3"/>
    <x v="4"/>
    <x v="4"/>
    <x v="1"/>
    <x v="0"/>
    <s v="File"/>
    <n v="48509"/>
    <x v="8"/>
    <n v="7.0000000000000007E-2"/>
    <n v="10497"/>
    <x v="3"/>
    <n v="2024"/>
  </r>
  <r>
    <n v="8059"/>
    <d v="2024-01-30T00:00:00"/>
    <s v="2024-02-04"/>
    <x v="0"/>
    <x v="3"/>
    <x v="3"/>
    <x v="0"/>
    <x v="1"/>
    <s v="Laptop"/>
    <n v="21430"/>
    <x v="1"/>
    <n v="0.23"/>
    <n v="2647"/>
    <x v="5"/>
    <n v="2024"/>
  </r>
  <r>
    <n v="8060"/>
    <d v="2024-06-17T00:00:00"/>
    <s v="2024-06-23"/>
    <x v="0"/>
    <x v="3"/>
    <x v="3"/>
    <x v="1"/>
    <x v="2"/>
    <s v="Sofa"/>
    <n v="7315"/>
    <x v="17"/>
    <n v="0.02"/>
    <n v="1700"/>
    <x v="1"/>
    <n v="2024"/>
  </r>
  <r>
    <n v="8061"/>
    <d v="2024-04-04T00:00:00"/>
    <s v="2024-04-11"/>
    <x v="3"/>
    <x v="6"/>
    <x v="6"/>
    <x v="1"/>
    <x v="2"/>
    <s v="Sofa"/>
    <n v="53359"/>
    <x v="15"/>
    <n v="0.15"/>
    <n v="5243"/>
    <x v="3"/>
    <n v="2024"/>
  </r>
  <r>
    <n v="8062"/>
    <d v="2024-03-03T00:00:00"/>
    <s v="2024-03-06"/>
    <x v="3"/>
    <x v="6"/>
    <x v="6"/>
    <x v="1"/>
    <x v="2"/>
    <s v="Sofa"/>
    <n v="23122"/>
    <x v="13"/>
    <n v="0.05"/>
    <n v="2390"/>
    <x v="0"/>
    <n v="2024"/>
  </r>
  <r>
    <n v="8063"/>
    <d v="2024-06-01T00:00:00"/>
    <s v="2024-06-08"/>
    <x v="1"/>
    <x v="7"/>
    <x v="7"/>
    <x v="2"/>
    <x v="1"/>
    <s v="Laptop"/>
    <n v="13599"/>
    <x v="11"/>
    <n v="0.13"/>
    <n v="1817"/>
    <x v="1"/>
    <n v="2024"/>
  </r>
  <r>
    <n v="8064"/>
    <d v="2024-05-22T00:00:00"/>
    <s v="2024-05-29"/>
    <x v="1"/>
    <x v="1"/>
    <x v="1"/>
    <x v="0"/>
    <x v="1"/>
    <s v="Headphones"/>
    <n v="17232"/>
    <x v="15"/>
    <n v="0.12"/>
    <n v="1692"/>
    <x v="4"/>
    <n v="2024"/>
  </r>
  <r>
    <n v="8065"/>
    <d v="2024-04-08T00:00:00"/>
    <s v="2024-04-11"/>
    <x v="1"/>
    <x v="7"/>
    <x v="7"/>
    <x v="2"/>
    <x v="2"/>
    <s v="Table"/>
    <n v="61552"/>
    <x v="0"/>
    <n v="0.16"/>
    <n v="15191"/>
    <x v="3"/>
    <n v="2024"/>
  </r>
  <r>
    <n v="8066"/>
    <d v="2024-01-30T00:00:00"/>
    <s v="2024-02-06"/>
    <x v="2"/>
    <x v="5"/>
    <x v="5"/>
    <x v="0"/>
    <x v="1"/>
    <s v="Headphones"/>
    <n v="59317"/>
    <x v="14"/>
    <n v="0.04"/>
    <n v="3644"/>
    <x v="5"/>
    <n v="2024"/>
  </r>
  <r>
    <n v="8067"/>
    <d v="2024-06-06T00:00:00"/>
    <s v="2024-06-10"/>
    <x v="2"/>
    <x v="5"/>
    <x v="5"/>
    <x v="1"/>
    <x v="1"/>
    <s v="Headphones"/>
    <n v="57298"/>
    <x v="2"/>
    <n v="0.04"/>
    <n v="11374"/>
    <x v="1"/>
    <n v="2024"/>
  </r>
  <r>
    <n v="8068"/>
    <d v="2024-04-06T00:00:00"/>
    <s v="2024-04-11"/>
    <x v="1"/>
    <x v="7"/>
    <x v="7"/>
    <x v="2"/>
    <x v="1"/>
    <s v="Mobile"/>
    <n v="28389"/>
    <x v="19"/>
    <n v="0.01"/>
    <n v="5622"/>
    <x v="3"/>
    <n v="2024"/>
  </r>
  <r>
    <n v="8069"/>
    <d v="2024-02-29T00:00:00"/>
    <s v="2024-03-04"/>
    <x v="0"/>
    <x v="3"/>
    <x v="3"/>
    <x v="2"/>
    <x v="1"/>
    <s v="Headphones"/>
    <n v="64173"/>
    <x v="7"/>
    <n v="0.3"/>
    <n v="9482"/>
    <x v="2"/>
    <n v="2024"/>
  </r>
  <r>
    <n v="8070"/>
    <d v="2024-03-13T00:00:00"/>
    <s v="2024-03-17"/>
    <x v="1"/>
    <x v="1"/>
    <x v="1"/>
    <x v="0"/>
    <x v="2"/>
    <s v="Sofa"/>
    <n v="30658"/>
    <x v="11"/>
    <n v="0.12"/>
    <n v="1631"/>
    <x v="0"/>
    <n v="2024"/>
  </r>
  <r>
    <n v="8071"/>
    <d v="2024-03-15T00:00:00"/>
    <s v="2024-03-18"/>
    <x v="3"/>
    <x v="4"/>
    <x v="4"/>
    <x v="1"/>
    <x v="2"/>
    <s v="Table"/>
    <n v="60983"/>
    <x v="19"/>
    <n v="0.15"/>
    <n v="11336"/>
    <x v="0"/>
    <n v="2024"/>
  </r>
  <r>
    <n v="8072"/>
    <d v="2024-02-24T00:00:00"/>
    <s v="2024-02-25"/>
    <x v="0"/>
    <x v="3"/>
    <x v="3"/>
    <x v="0"/>
    <x v="0"/>
    <s v="Paper"/>
    <n v="6282"/>
    <x v="15"/>
    <n v="0.15"/>
    <n v="1274"/>
    <x v="2"/>
    <n v="2024"/>
  </r>
  <r>
    <n v="8073"/>
    <d v="2024-02-25T00:00:00"/>
    <s v="2024-03-03"/>
    <x v="1"/>
    <x v="7"/>
    <x v="7"/>
    <x v="1"/>
    <x v="1"/>
    <s v="Mobile"/>
    <n v="4918"/>
    <x v="3"/>
    <n v="7.0000000000000007E-2"/>
    <n v="1197"/>
    <x v="2"/>
    <n v="2024"/>
  </r>
  <r>
    <n v="8074"/>
    <d v="2024-03-18T00:00:00"/>
    <s v="2024-03-22"/>
    <x v="0"/>
    <x v="3"/>
    <x v="3"/>
    <x v="2"/>
    <x v="1"/>
    <s v="Headphones"/>
    <n v="34607"/>
    <x v="10"/>
    <n v="0.14000000000000001"/>
    <n v="5251"/>
    <x v="0"/>
    <n v="2024"/>
  </r>
  <r>
    <n v="8075"/>
    <d v="2024-03-30T00:00:00"/>
    <s v="2024-04-06"/>
    <x v="3"/>
    <x v="6"/>
    <x v="6"/>
    <x v="2"/>
    <x v="0"/>
    <s v="File"/>
    <n v="67808"/>
    <x v="6"/>
    <n v="0.24"/>
    <n v="6523"/>
    <x v="0"/>
    <n v="2024"/>
  </r>
  <r>
    <n v="8076"/>
    <d v="2024-04-19T00:00:00"/>
    <s v="2024-04-25"/>
    <x v="3"/>
    <x v="4"/>
    <x v="4"/>
    <x v="0"/>
    <x v="2"/>
    <s v="Chair"/>
    <n v="42937"/>
    <x v="1"/>
    <n v="0.02"/>
    <n v="5849"/>
    <x v="3"/>
    <n v="2024"/>
  </r>
  <r>
    <n v="8077"/>
    <d v="2024-06-24T00:00:00"/>
    <s v="2024-06-26"/>
    <x v="2"/>
    <x v="5"/>
    <x v="5"/>
    <x v="1"/>
    <x v="0"/>
    <s v="Paper"/>
    <n v="35987"/>
    <x v="7"/>
    <n v="0.25"/>
    <n v="7334"/>
    <x v="1"/>
    <n v="2024"/>
  </r>
  <r>
    <n v="8078"/>
    <d v="2024-04-22T00:00:00"/>
    <s v="2024-04-26"/>
    <x v="1"/>
    <x v="7"/>
    <x v="7"/>
    <x v="2"/>
    <x v="2"/>
    <s v="Table"/>
    <n v="58613"/>
    <x v="2"/>
    <n v="0.12"/>
    <n v="4357"/>
    <x v="3"/>
    <n v="2024"/>
  </r>
  <r>
    <n v="8079"/>
    <d v="2024-05-31T00:00:00"/>
    <s v="2024-06-07"/>
    <x v="2"/>
    <x v="2"/>
    <x v="2"/>
    <x v="2"/>
    <x v="0"/>
    <s v="Paper"/>
    <n v="49859"/>
    <x v="12"/>
    <n v="0.14000000000000001"/>
    <n v="8153"/>
    <x v="4"/>
    <n v="2024"/>
  </r>
  <r>
    <n v="8080"/>
    <d v="2024-02-03T00:00:00"/>
    <s v="2024-02-09"/>
    <x v="3"/>
    <x v="4"/>
    <x v="4"/>
    <x v="1"/>
    <x v="2"/>
    <s v="Table"/>
    <n v="60100"/>
    <x v="11"/>
    <n v="0.11"/>
    <n v="3550"/>
    <x v="2"/>
    <n v="2024"/>
  </r>
  <r>
    <n v="8081"/>
    <d v="2024-01-14T00:00:00"/>
    <s v="2024-01-15"/>
    <x v="2"/>
    <x v="2"/>
    <x v="2"/>
    <x v="0"/>
    <x v="2"/>
    <s v="Chair"/>
    <n v="17463"/>
    <x v="3"/>
    <n v="0.2"/>
    <n v="3461"/>
    <x v="5"/>
    <n v="2024"/>
  </r>
  <r>
    <n v="8082"/>
    <d v="2024-06-19T00:00:00"/>
    <s v="2024-06-22"/>
    <x v="2"/>
    <x v="2"/>
    <x v="2"/>
    <x v="1"/>
    <x v="2"/>
    <s v="Sofa"/>
    <n v="59076"/>
    <x v="17"/>
    <n v="0.14000000000000001"/>
    <n v="6154"/>
    <x v="1"/>
    <n v="2024"/>
  </r>
  <r>
    <n v="8083"/>
    <d v="2024-06-06T00:00:00"/>
    <s v="2024-06-12"/>
    <x v="3"/>
    <x v="6"/>
    <x v="6"/>
    <x v="1"/>
    <x v="1"/>
    <s v="Mobile"/>
    <n v="50154"/>
    <x v="11"/>
    <n v="0.16"/>
    <n v="6748"/>
    <x v="1"/>
    <n v="2024"/>
  </r>
  <r>
    <n v="8084"/>
    <d v="2024-01-05T00:00:00"/>
    <s v="2024-01-06"/>
    <x v="3"/>
    <x v="4"/>
    <x v="4"/>
    <x v="2"/>
    <x v="0"/>
    <s v="File"/>
    <n v="1742"/>
    <x v="11"/>
    <n v="0.3"/>
    <n v="134"/>
    <x v="5"/>
    <n v="2024"/>
  </r>
  <r>
    <n v="8085"/>
    <d v="2024-01-11T00:00:00"/>
    <s v="2024-01-15"/>
    <x v="2"/>
    <x v="5"/>
    <x v="5"/>
    <x v="1"/>
    <x v="2"/>
    <s v="Chair"/>
    <n v="65718"/>
    <x v="9"/>
    <n v="0.19"/>
    <n v="15594"/>
    <x v="5"/>
    <n v="2024"/>
  </r>
  <r>
    <n v="8086"/>
    <d v="2024-02-04T00:00:00"/>
    <s v="2024-02-08"/>
    <x v="3"/>
    <x v="4"/>
    <x v="4"/>
    <x v="1"/>
    <x v="2"/>
    <s v="Table"/>
    <n v="57930"/>
    <x v="7"/>
    <n v="0.15"/>
    <n v="14254"/>
    <x v="2"/>
    <n v="2024"/>
  </r>
  <r>
    <n v="8087"/>
    <d v="2024-05-28T00:00:00"/>
    <s v="2024-06-01"/>
    <x v="0"/>
    <x v="0"/>
    <x v="0"/>
    <x v="2"/>
    <x v="2"/>
    <s v="Table"/>
    <n v="10167"/>
    <x v="14"/>
    <n v="0.04"/>
    <n v="1943"/>
    <x v="4"/>
    <n v="2024"/>
  </r>
  <r>
    <n v="8088"/>
    <d v="2024-05-31T00:00:00"/>
    <s v="2024-06-01"/>
    <x v="3"/>
    <x v="4"/>
    <x v="4"/>
    <x v="1"/>
    <x v="1"/>
    <s v="Laptop"/>
    <n v="76651"/>
    <x v="9"/>
    <n v="0.04"/>
    <n v="15822"/>
    <x v="4"/>
    <n v="2024"/>
  </r>
  <r>
    <n v="8089"/>
    <d v="2024-06-09T00:00:00"/>
    <s v="2024-06-12"/>
    <x v="1"/>
    <x v="1"/>
    <x v="1"/>
    <x v="2"/>
    <x v="2"/>
    <s v="Table"/>
    <n v="46435"/>
    <x v="12"/>
    <n v="0.22"/>
    <n v="8214"/>
    <x v="1"/>
    <n v="2024"/>
  </r>
  <r>
    <n v="8090"/>
    <d v="2024-04-02T00:00:00"/>
    <s v="2024-04-03"/>
    <x v="0"/>
    <x v="3"/>
    <x v="3"/>
    <x v="1"/>
    <x v="2"/>
    <s v="Chair"/>
    <n v="55684"/>
    <x v="19"/>
    <n v="0.04"/>
    <n v="13880"/>
    <x v="3"/>
    <n v="2024"/>
  </r>
  <r>
    <n v="8091"/>
    <d v="2024-04-29T00:00:00"/>
    <s v="2024-05-04"/>
    <x v="1"/>
    <x v="7"/>
    <x v="7"/>
    <x v="1"/>
    <x v="1"/>
    <s v="Headphones"/>
    <n v="50852"/>
    <x v="11"/>
    <n v="0.04"/>
    <n v="6065"/>
    <x v="3"/>
    <n v="2024"/>
  </r>
  <r>
    <n v="8092"/>
    <d v="2024-06-08T00:00:00"/>
    <s v="2024-06-12"/>
    <x v="0"/>
    <x v="0"/>
    <x v="0"/>
    <x v="1"/>
    <x v="2"/>
    <s v="Sofa"/>
    <n v="25593"/>
    <x v="1"/>
    <n v="0.03"/>
    <n v="2972"/>
    <x v="1"/>
    <n v="2024"/>
  </r>
  <r>
    <n v="8093"/>
    <d v="2024-04-22T00:00:00"/>
    <s v="2024-04-26"/>
    <x v="1"/>
    <x v="7"/>
    <x v="7"/>
    <x v="0"/>
    <x v="2"/>
    <s v="Chair"/>
    <n v="42565"/>
    <x v="11"/>
    <n v="0.26"/>
    <n v="2376"/>
    <x v="3"/>
    <n v="2024"/>
  </r>
  <r>
    <n v="8094"/>
    <d v="2024-05-04T00:00:00"/>
    <s v="2024-05-11"/>
    <x v="2"/>
    <x v="2"/>
    <x v="2"/>
    <x v="0"/>
    <x v="2"/>
    <s v="Table"/>
    <n v="20633"/>
    <x v="19"/>
    <n v="0.16"/>
    <n v="4369"/>
    <x v="4"/>
    <n v="2024"/>
  </r>
  <r>
    <n v="8095"/>
    <d v="2024-01-20T00:00:00"/>
    <s v="2024-01-23"/>
    <x v="0"/>
    <x v="0"/>
    <x v="0"/>
    <x v="0"/>
    <x v="2"/>
    <s v="Table"/>
    <n v="52608"/>
    <x v="0"/>
    <n v="0.05"/>
    <n v="3489"/>
    <x v="5"/>
    <n v="2024"/>
  </r>
  <r>
    <n v="8096"/>
    <d v="2024-01-05T00:00:00"/>
    <s v="2024-01-12"/>
    <x v="1"/>
    <x v="1"/>
    <x v="1"/>
    <x v="1"/>
    <x v="2"/>
    <s v="Sofa"/>
    <n v="15027"/>
    <x v="15"/>
    <n v="0.19"/>
    <n v="1730"/>
    <x v="5"/>
    <n v="2024"/>
  </r>
  <r>
    <n v="8097"/>
    <d v="2024-01-31T00:00:00"/>
    <s v="2024-02-04"/>
    <x v="2"/>
    <x v="2"/>
    <x v="2"/>
    <x v="0"/>
    <x v="0"/>
    <s v="Paper"/>
    <n v="64262"/>
    <x v="1"/>
    <n v="0.22"/>
    <n v="4319"/>
    <x v="5"/>
    <n v="2024"/>
  </r>
  <r>
    <n v="8098"/>
    <d v="2024-05-01T00:00:00"/>
    <s v="2024-05-04"/>
    <x v="2"/>
    <x v="5"/>
    <x v="5"/>
    <x v="0"/>
    <x v="2"/>
    <s v="Table"/>
    <n v="8489"/>
    <x v="12"/>
    <n v="0.03"/>
    <n v="1405"/>
    <x v="4"/>
    <n v="2024"/>
  </r>
  <r>
    <n v="8099"/>
    <d v="2024-02-18T00:00:00"/>
    <s v="2024-02-20"/>
    <x v="3"/>
    <x v="4"/>
    <x v="4"/>
    <x v="2"/>
    <x v="2"/>
    <s v="Table"/>
    <n v="11969"/>
    <x v="17"/>
    <n v="0.11"/>
    <n v="652"/>
    <x v="2"/>
    <n v="2024"/>
  </r>
  <r>
    <n v="8100"/>
    <d v="2024-02-14T00:00:00"/>
    <s v="2024-02-16"/>
    <x v="2"/>
    <x v="5"/>
    <x v="5"/>
    <x v="2"/>
    <x v="1"/>
    <s v="Headphones"/>
    <n v="62439"/>
    <x v="9"/>
    <n v="0.27"/>
    <n v="10747"/>
    <x v="2"/>
    <n v="2024"/>
  </r>
  <r>
    <n v="8101"/>
    <d v="2024-05-22T00:00:00"/>
    <s v="2024-05-25"/>
    <x v="1"/>
    <x v="7"/>
    <x v="7"/>
    <x v="2"/>
    <x v="1"/>
    <s v="Laptop"/>
    <n v="2032"/>
    <x v="14"/>
    <n v="0.24"/>
    <n v="298"/>
    <x v="4"/>
    <n v="2024"/>
  </r>
  <r>
    <n v="8102"/>
    <d v="2024-04-29T00:00:00"/>
    <s v="2024-05-03"/>
    <x v="2"/>
    <x v="5"/>
    <x v="5"/>
    <x v="2"/>
    <x v="2"/>
    <s v="Sofa"/>
    <n v="70072"/>
    <x v="7"/>
    <n v="0.18"/>
    <n v="15415"/>
    <x v="3"/>
    <n v="2024"/>
  </r>
  <r>
    <n v="8103"/>
    <d v="2024-05-10T00:00:00"/>
    <s v="2024-05-17"/>
    <x v="3"/>
    <x v="4"/>
    <x v="4"/>
    <x v="2"/>
    <x v="1"/>
    <s v="Headphones"/>
    <n v="32006"/>
    <x v="19"/>
    <n v="0"/>
    <n v="1761"/>
    <x v="4"/>
    <n v="2024"/>
  </r>
  <r>
    <n v="8104"/>
    <d v="2024-06-03T00:00:00"/>
    <s v="2024-06-04"/>
    <x v="1"/>
    <x v="7"/>
    <x v="7"/>
    <x v="0"/>
    <x v="1"/>
    <s v="Laptop"/>
    <n v="63459"/>
    <x v="0"/>
    <n v="0.21"/>
    <n v="7736"/>
    <x v="1"/>
    <n v="2024"/>
  </r>
  <r>
    <n v="8105"/>
    <d v="2024-04-17T00:00:00"/>
    <s v="2024-04-23"/>
    <x v="2"/>
    <x v="5"/>
    <x v="5"/>
    <x v="1"/>
    <x v="1"/>
    <s v="Mobile"/>
    <n v="51070"/>
    <x v="13"/>
    <n v="7.0000000000000007E-2"/>
    <n v="6403"/>
    <x v="3"/>
    <n v="2024"/>
  </r>
  <r>
    <n v="8106"/>
    <d v="2024-03-22T00:00:00"/>
    <s v="2024-03-24"/>
    <x v="0"/>
    <x v="0"/>
    <x v="0"/>
    <x v="2"/>
    <x v="0"/>
    <s v="Paper"/>
    <n v="52402"/>
    <x v="4"/>
    <n v="0.17"/>
    <n v="5159"/>
    <x v="0"/>
    <n v="2024"/>
  </r>
  <r>
    <n v="8107"/>
    <d v="2024-05-11T00:00:00"/>
    <s v="2024-05-15"/>
    <x v="0"/>
    <x v="0"/>
    <x v="0"/>
    <x v="1"/>
    <x v="0"/>
    <s v="Paper"/>
    <n v="5091"/>
    <x v="16"/>
    <n v="0.24"/>
    <n v="784"/>
    <x v="4"/>
    <n v="2024"/>
  </r>
  <r>
    <n v="8108"/>
    <d v="2024-06-14T00:00:00"/>
    <s v="2024-06-19"/>
    <x v="1"/>
    <x v="7"/>
    <x v="7"/>
    <x v="2"/>
    <x v="0"/>
    <s v="Pen"/>
    <n v="51887"/>
    <x v="18"/>
    <n v="0.12"/>
    <n v="6555"/>
    <x v="1"/>
    <n v="2024"/>
  </r>
  <r>
    <n v="8109"/>
    <d v="2024-01-25T00:00:00"/>
    <s v="2024-01-31"/>
    <x v="2"/>
    <x v="5"/>
    <x v="5"/>
    <x v="0"/>
    <x v="1"/>
    <s v="Headphones"/>
    <n v="73133"/>
    <x v="12"/>
    <n v="0.05"/>
    <n v="11981"/>
    <x v="5"/>
    <n v="2024"/>
  </r>
  <r>
    <n v="8110"/>
    <d v="2024-06-18T00:00:00"/>
    <s v="2024-06-25"/>
    <x v="0"/>
    <x v="3"/>
    <x v="3"/>
    <x v="1"/>
    <x v="0"/>
    <s v="File"/>
    <n v="54223"/>
    <x v="12"/>
    <n v="0.28999999999999998"/>
    <n v="8854"/>
    <x v="1"/>
    <n v="2024"/>
  </r>
  <r>
    <n v="8111"/>
    <d v="2024-04-07T00:00:00"/>
    <s v="2024-04-11"/>
    <x v="3"/>
    <x v="6"/>
    <x v="6"/>
    <x v="1"/>
    <x v="2"/>
    <s v="Chair"/>
    <n v="37804"/>
    <x v="5"/>
    <n v="0.13"/>
    <n v="2912"/>
    <x v="3"/>
    <n v="2024"/>
  </r>
  <r>
    <n v="8112"/>
    <d v="2024-03-11T00:00:00"/>
    <s v="2024-03-17"/>
    <x v="0"/>
    <x v="0"/>
    <x v="0"/>
    <x v="2"/>
    <x v="1"/>
    <s v="Laptop"/>
    <n v="35261"/>
    <x v="4"/>
    <n v="0.16"/>
    <n v="3913"/>
    <x v="0"/>
    <n v="2024"/>
  </r>
  <r>
    <n v="8113"/>
    <d v="2024-02-17T00:00:00"/>
    <s v="2024-02-22"/>
    <x v="2"/>
    <x v="5"/>
    <x v="5"/>
    <x v="2"/>
    <x v="0"/>
    <s v="Pen"/>
    <n v="41958"/>
    <x v="5"/>
    <n v="0.28999999999999998"/>
    <n v="9727"/>
    <x v="2"/>
    <n v="2024"/>
  </r>
  <r>
    <n v="8114"/>
    <d v="2024-03-05T00:00:00"/>
    <s v="2024-03-06"/>
    <x v="2"/>
    <x v="5"/>
    <x v="5"/>
    <x v="0"/>
    <x v="1"/>
    <s v="Headphones"/>
    <n v="37876"/>
    <x v="6"/>
    <n v="0.21"/>
    <n v="3715"/>
    <x v="0"/>
    <n v="2024"/>
  </r>
  <r>
    <n v="8115"/>
    <d v="2024-05-06T00:00:00"/>
    <s v="2024-05-12"/>
    <x v="1"/>
    <x v="7"/>
    <x v="7"/>
    <x v="0"/>
    <x v="1"/>
    <s v="Laptop"/>
    <n v="45475"/>
    <x v="1"/>
    <n v="0.25"/>
    <n v="5968"/>
    <x v="4"/>
    <n v="2024"/>
  </r>
  <r>
    <n v="8116"/>
    <d v="2024-03-19T00:00:00"/>
    <s v="2024-03-21"/>
    <x v="0"/>
    <x v="3"/>
    <x v="3"/>
    <x v="1"/>
    <x v="1"/>
    <s v="Laptop"/>
    <n v="41264"/>
    <x v="13"/>
    <n v="0.05"/>
    <n v="3715"/>
    <x v="0"/>
    <n v="2024"/>
  </r>
  <r>
    <n v="8117"/>
    <d v="2024-06-04T00:00:00"/>
    <s v="2024-06-08"/>
    <x v="2"/>
    <x v="2"/>
    <x v="2"/>
    <x v="0"/>
    <x v="1"/>
    <s v="Laptop"/>
    <n v="14850"/>
    <x v="8"/>
    <n v="0.28999999999999998"/>
    <n v="2763"/>
    <x v="1"/>
    <n v="2024"/>
  </r>
  <r>
    <n v="8118"/>
    <d v="2024-05-31T00:00:00"/>
    <s v="2024-06-01"/>
    <x v="0"/>
    <x v="3"/>
    <x v="3"/>
    <x v="2"/>
    <x v="2"/>
    <s v="Chair"/>
    <n v="70936"/>
    <x v="11"/>
    <n v="0.17"/>
    <n v="14606"/>
    <x v="4"/>
    <n v="2024"/>
  </r>
  <r>
    <n v="8119"/>
    <d v="2024-02-11T00:00:00"/>
    <s v="2024-02-16"/>
    <x v="0"/>
    <x v="0"/>
    <x v="0"/>
    <x v="1"/>
    <x v="1"/>
    <s v="Laptop"/>
    <n v="60945"/>
    <x v="11"/>
    <n v="0.13"/>
    <n v="11707"/>
    <x v="2"/>
    <n v="2024"/>
  </r>
  <r>
    <n v="8120"/>
    <d v="2024-06-11T00:00:00"/>
    <s v="2024-06-18"/>
    <x v="1"/>
    <x v="1"/>
    <x v="1"/>
    <x v="2"/>
    <x v="2"/>
    <s v="Table"/>
    <n v="59902"/>
    <x v="19"/>
    <n v="0.12"/>
    <n v="3581"/>
    <x v="1"/>
    <n v="2024"/>
  </r>
  <r>
    <n v="8121"/>
    <d v="2024-04-11T00:00:00"/>
    <s v="2024-04-17"/>
    <x v="1"/>
    <x v="1"/>
    <x v="1"/>
    <x v="1"/>
    <x v="1"/>
    <s v="Mobile"/>
    <n v="7162"/>
    <x v="2"/>
    <n v="0.28999999999999998"/>
    <n v="1450"/>
    <x v="3"/>
    <n v="2024"/>
  </r>
  <r>
    <n v="8122"/>
    <d v="2024-04-05T00:00:00"/>
    <s v="2024-04-06"/>
    <x v="1"/>
    <x v="7"/>
    <x v="7"/>
    <x v="1"/>
    <x v="1"/>
    <s v="Laptop"/>
    <n v="50517"/>
    <x v="18"/>
    <n v="0.28999999999999998"/>
    <n v="3410"/>
    <x v="3"/>
    <n v="2024"/>
  </r>
  <r>
    <n v="8123"/>
    <d v="2024-02-10T00:00:00"/>
    <s v="2024-02-15"/>
    <x v="3"/>
    <x v="6"/>
    <x v="6"/>
    <x v="1"/>
    <x v="2"/>
    <s v="Chair"/>
    <n v="7338"/>
    <x v="6"/>
    <n v="0.17"/>
    <n v="542"/>
    <x v="2"/>
    <n v="2024"/>
  </r>
  <r>
    <n v="8124"/>
    <d v="2024-02-01T00:00:00"/>
    <s v="2024-02-02"/>
    <x v="1"/>
    <x v="7"/>
    <x v="7"/>
    <x v="0"/>
    <x v="2"/>
    <s v="Chair"/>
    <n v="8508"/>
    <x v="8"/>
    <n v="0.25"/>
    <n v="2093"/>
    <x v="2"/>
    <n v="2024"/>
  </r>
  <r>
    <n v="8125"/>
    <d v="2024-05-27T00:00:00"/>
    <s v="2024-05-30"/>
    <x v="3"/>
    <x v="4"/>
    <x v="4"/>
    <x v="1"/>
    <x v="1"/>
    <s v="Headphones"/>
    <n v="16721"/>
    <x v="19"/>
    <n v="0.23"/>
    <n v="3332"/>
    <x v="4"/>
    <n v="2024"/>
  </r>
  <r>
    <n v="8126"/>
    <d v="2024-02-12T00:00:00"/>
    <s v="2024-02-16"/>
    <x v="3"/>
    <x v="6"/>
    <x v="6"/>
    <x v="0"/>
    <x v="0"/>
    <s v="Pen"/>
    <n v="26410"/>
    <x v="10"/>
    <n v="0.06"/>
    <n v="6005"/>
    <x v="2"/>
    <n v="2024"/>
  </r>
  <r>
    <n v="8127"/>
    <d v="2024-04-28T00:00:00"/>
    <s v="2024-04-29"/>
    <x v="0"/>
    <x v="0"/>
    <x v="0"/>
    <x v="1"/>
    <x v="0"/>
    <s v="Pen"/>
    <n v="41147"/>
    <x v="4"/>
    <n v="0.19"/>
    <n v="6265"/>
    <x v="3"/>
    <n v="2024"/>
  </r>
  <r>
    <n v="8128"/>
    <d v="2024-01-06T00:00:00"/>
    <s v="2024-01-11"/>
    <x v="0"/>
    <x v="0"/>
    <x v="0"/>
    <x v="1"/>
    <x v="0"/>
    <s v="Pen"/>
    <n v="43491"/>
    <x v="8"/>
    <n v="0.2"/>
    <n v="3691"/>
    <x v="5"/>
    <n v="2024"/>
  </r>
  <r>
    <n v="8129"/>
    <d v="2024-04-19T00:00:00"/>
    <s v="2024-04-22"/>
    <x v="2"/>
    <x v="5"/>
    <x v="5"/>
    <x v="2"/>
    <x v="1"/>
    <s v="Mobile"/>
    <n v="75363"/>
    <x v="19"/>
    <n v="0.28000000000000003"/>
    <n v="9300"/>
    <x v="3"/>
    <n v="2024"/>
  </r>
  <r>
    <n v="8130"/>
    <d v="2024-03-31T00:00:00"/>
    <s v="2024-04-03"/>
    <x v="0"/>
    <x v="0"/>
    <x v="0"/>
    <x v="2"/>
    <x v="0"/>
    <s v="File"/>
    <n v="15729"/>
    <x v="6"/>
    <n v="0.25"/>
    <n v="3381"/>
    <x v="0"/>
    <n v="2024"/>
  </r>
  <r>
    <n v="8131"/>
    <d v="2024-03-03T00:00:00"/>
    <s v="2024-03-09"/>
    <x v="0"/>
    <x v="3"/>
    <x v="3"/>
    <x v="2"/>
    <x v="2"/>
    <s v="Chair"/>
    <n v="52499"/>
    <x v="3"/>
    <n v="0.28000000000000003"/>
    <n v="9399"/>
    <x v="0"/>
    <n v="2024"/>
  </r>
  <r>
    <n v="8132"/>
    <d v="2024-01-04T00:00:00"/>
    <s v="2024-01-07"/>
    <x v="1"/>
    <x v="7"/>
    <x v="7"/>
    <x v="2"/>
    <x v="2"/>
    <s v="Sofa"/>
    <n v="5800"/>
    <x v="16"/>
    <n v="0.25"/>
    <n v="809"/>
    <x v="5"/>
    <n v="2024"/>
  </r>
  <r>
    <n v="8133"/>
    <d v="2024-04-16T00:00:00"/>
    <s v="2024-04-21"/>
    <x v="1"/>
    <x v="7"/>
    <x v="7"/>
    <x v="0"/>
    <x v="1"/>
    <s v="Laptop"/>
    <n v="8113"/>
    <x v="5"/>
    <n v="7.0000000000000007E-2"/>
    <n v="1881"/>
    <x v="3"/>
    <n v="2024"/>
  </r>
  <r>
    <n v="8134"/>
    <d v="2024-05-08T00:00:00"/>
    <s v="2024-05-13"/>
    <x v="2"/>
    <x v="2"/>
    <x v="2"/>
    <x v="2"/>
    <x v="0"/>
    <s v="Paper"/>
    <n v="5823"/>
    <x v="2"/>
    <n v="0.19"/>
    <n v="1101"/>
    <x v="4"/>
    <n v="2024"/>
  </r>
  <r>
    <n v="8135"/>
    <d v="2024-04-11T00:00:00"/>
    <s v="2024-04-18"/>
    <x v="0"/>
    <x v="0"/>
    <x v="0"/>
    <x v="1"/>
    <x v="0"/>
    <s v="File"/>
    <n v="1185"/>
    <x v="18"/>
    <n v="0.17"/>
    <n v="227"/>
    <x v="3"/>
    <n v="2024"/>
  </r>
  <r>
    <n v="8136"/>
    <d v="2024-05-10T00:00:00"/>
    <s v="2024-05-11"/>
    <x v="0"/>
    <x v="0"/>
    <x v="0"/>
    <x v="2"/>
    <x v="2"/>
    <s v="Sofa"/>
    <n v="7282"/>
    <x v="1"/>
    <n v="0.25"/>
    <n v="876"/>
    <x v="4"/>
    <n v="2024"/>
  </r>
  <r>
    <n v="8137"/>
    <d v="2024-01-13T00:00:00"/>
    <s v="2024-01-18"/>
    <x v="1"/>
    <x v="1"/>
    <x v="1"/>
    <x v="2"/>
    <x v="0"/>
    <s v="Pen"/>
    <n v="52062"/>
    <x v="3"/>
    <n v="0.19"/>
    <n v="5034"/>
    <x v="5"/>
    <n v="2024"/>
  </r>
  <r>
    <n v="8138"/>
    <d v="2024-03-28T00:00:00"/>
    <s v="2024-03-31"/>
    <x v="1"/>
    <x v="7"/>
    <x v="7"/>
    <x v="0"/>
    <x v="2"/>
    <s v="Table"/>
    <n v="16433"/>
    <x v="2"/>
    <n v="7.0000000000000007E-2"/>
    <n v="3653"/>
    <x v="0"/>
    <n v="2024"/>
  </r>
  <r>
    <n v="8139"/>
    <d v="2024-05-09T00:00:00"/>
    <s v="2024-05-15"/>
    <x v="0"/>
    <x v="0"/>
    <x v="0"/>
    <x v="2"/>
    <x v="1"/>
    <s v="Mobile"/>
    <n v="19710"/>
    <x v="6"/>
    <n v="0.23"/>
    <n v="4433"/>
    <x v="4"/>
    <n v="2024"/>
  </r>
  <r>
    <n v="8140"/>
    <d v="2024-02-12T00:00:00"/>
    <s v="2024-02-19"/>
    <x v="1"/>
    <x v="1"/>
    <x v="1"/>
    <x v="0"/>
    <x v="2"/>
    <s v="Table"/>
    <n v="20913"/>
    <x v="15"/>
    <n v="0.26"/>
    <n v="3632"/>
    <x v="2"/>
    <n v="2024"/>
  </r>
  <r>
    <n v="8141"/>
    <d v="2024-01-24T00:00:00"/>
    <s v="2024-01-26"/>
    <x v="2"/>
    <x v="5"/>
    <x v="5"/>
    <x v="1"/>
    <x v="1"/>
    <s v="Mobile"/>
    <n v="58140"/>
    <x v="7"/>
    <n v="0.08"/>
    <n v="5223"/>
    <x v="5"/>
    <n v="2024"/>
  </r>
  <r>
    <n v="8142"/>
    <d v="2024-04-24T00:00:00"/>
    <s v="2024-04-28"/>
    <x v="0"/>
    <x v="0"/>
    <x v="0"/>
    <x v="2"/>
    <x v="1"/>
    <s v="Laptop"/>
    <n v="12016"/>
    <x v="18"/>
    <n v="0.25"/>
    <n v="1018"/>
    <x v="3"/>
    <n v="2024"/>
  </r>
  <r>
    <n v="8143"/>
    <d v="2024-06-27T00:00:00"/>
    <s v="2024-06-28"/>
    <x v="3"/>
    <x v="6"/>
    <x v="6"/>
    <x v="0"/>
    <x v="2"/>
    <s v="Chair"/>
    <n v="49526"/>
    <x v="7"/>
    <n v="0.17"/>
    <n v="2779"/>
    <x v="1"/>
    <n v="2024"/>
  </r>
  <r>
    <n v="8144"/>
    <d v="2024-06-10T00:00:00"/>
    <s v="2024-06-13"/>
    <x v="0"/>
    <x v="0"/>
    <x v="0"/>
    <x v="0"/>
    <x v="1"/>
    <s v="Laptop"/>
    <n v="8618"/>
    <x v="4"/>
    <n v="0.14000000000000001"/>
    <n v="443"/>
    <x v="1"/>
    <n v="2024"/>
  </r>
  <r>
    <n v="8145"/>
    <d v="2024-03-04T00:00:00"/>
    <s v="2024-03-07"/>
    <x v="0"/>
    <x v="0"/>
    <x v="0"/>
    <x v="1"/>
    <x v="2"/>
    <s v="Chair"/>
    <n v="52844"/>
    <x v="19"/>
    <n v="0.04"/>
    <n v="7553"/>
    <x v="0"/>
    <n v="2024"/>
  </r>
  <r>
    <n v="8146"/>
    <d v="2024-05-31T00:00:00"/>
    <s v="2024-06-05"/>
    <x v="3"/>
    <x v="6"/>
    <x v="6"/>
    <x v="1"/>
    <x v="1"/>
    <s v="Laptop"/>
    <n v="4450"/>
    <x v="17"/>
    <n v="0.09"/>
    <n v="327"/>
    <x v="4"/>
    <n v="2024"/>
  </r>
  <r>
    <n v="8147"/>
    <d v="2024-02-12T00:00:00"/>
    <s v="2024-02-14"/>
    <x v="1"/>
    <x v="7"/>
    <x v="7"/>
    <x v="2"/>
    <x v="1"/>
    <s v="Mobile"/>
    <n v="41204"/>
    <x v="15"/>
    <n v="0.19"/>
    <n v="8541"/>
    <x v="2"/>
    <n v="2024"/>
  </r>
  <r>
    <n v="8148"/>
    <d v="2024-05-17T00:00:00"/>
    <s v="2024-05-24"/>
    <x v="0"/>
    <x v="3"/>
    <x v="3"/>
    <x v="2"/>
    <x v="0"/>
    <s v="Paper"/>
    <n v="75597"/>
    <x v="15"/>
    <n v="0.14000000000000001"/>
    <n v="6283"/>
    <x v="4"/>
    <n v="2024"/>
  </r>
  <r>
    <n v="8149"/>
    <d v="2024-02-18T00:00:00"/>
    <s v="2024-02-24"/>
    <x v="3"/>
    <x v="6"/>
    <x v="6"/>
    <x v="1"/>
    <x v="0"/>
    <s v="Paper"/>
    <n v="72437"/>
    <x v="12"/>
    <n v="0.23"/>
    <n v="8924"/>
    <x v="2"/>
    <n v="2024"/>
  </r>
  <r>
    <n v="8150"/>
    <d v="2024-01-03T00:00:00"/>
    <s v="2024-01-08"/>
    <x v="2"/>
    <x v="2"/>
    <x v="2"/>
    <x v="0"/>
    <x v="1"/>
    <s v="Mobile"/>
    <n v="2044"/>
    <x v="2"/>
    <n v="0.18"/>
    <n v="223"/>
    <x v="5"/>
    <n v="2024"/>
  </r>
  <r>
    <n v="8151"/>
    <d v="2024-04-07T00:00:00"/>
    <s v="2024-04-12"/>
    <x v="3"/>
    <x v="4"/>
    <x v="4"/>
    <x v="1"/>
    <x v="2"/>
    <s v="Table"/>
    <n v="65667"/>
    <x v="18"/>
    <n v="0.25"/>
    <n v="13053"/>
    <x v="3"/>
    <n v="2024"/>
  </r>
  <r>
    <n v="8152"/>
    <d v="2024-02-18T00:00:00"/>
    <s v="2024-02-23"/>
    <x v="2"/>
    <x v="2"/>
    <x v="2"/>
    <x v="1"/>
    <x v="0"/>
    <s v="Pen"/>
    <n v="67243"/>
    <x v="19"/>
    <n v="0.14000000000000001"/>
    <n v="4064"/>
    <x v="2"/>
    <n v="2024"/>
  </r>
  <r>
    <n v="8153"/>
    <d v="2024-05-10T00:00:00"/>
    <s v="2024-05-12"/>
    <x v="3"/>
    <x v="6"/>
    <x v="6"/>
    <x v="1"/>
    <x v="1"/>
    <s v="Laptop"/>
    <n v="76078"/>
    <x v="3"/>
    <n v="0.28000000000000003"/>
    <n v="5547"/>
    <x v="4"/>
    <n v="2024"/>
  </r>
  <r>
    <n v="8154"/>
    <d v="2024-06-09T00:00:00"/>
    <s v="2024-06-14"/>
    <x v="1"/>
    <x v="1"/>
    <x v="1"/>
    <x v="1"/>
    <x v="1"/>
    <s v="Headphones"/>
    <n v="64605"/>
    <x v="1"/>
    <n v="0.11"/>
    <n v="3802"/>
    <x v="1"/>
    <n v="2024"/>
  </r>
  <r>
    <n v="8155"/>
    <d v="2024-05-10T00:00:00"/>
    <s v="2024-05-17"/>
    <x v="2"/>
    <x v="2"/>
    <x v="2"/>
    <x v="0"/>
    <x v="1"/>
    <s v="Laptop"/>
    <n v="46208"/>
    <x v="2"/>
    <n v="0.11"/>
    <n v="11323"/>
    <x v="4"/>
    <n v="2024"/>
  </r>
  <r>
    <n v="8156"/>
    <d v="2024-01-01T00:00:00"/>
    <s v="2024-01-04"/>
    <x v="1"/>
    <x v="7"/>
    <x v="7"/>
    <x v="1"/>
    <x v="2"/>
    <s v="Chair"/>
    <n v="71671"/>
    <x v="3"/>
    <n v="0.08"/>
    <n v="6778"/>
    <x v="5"/>
    <n v="2024"/>
  </r>
  <r>
    <n v="8157"/>
    <d v="2024-01-23T00:00:00"/>
    <s v="2024-01-28"/>
    <x v="0"/>
    <x v="3"/>
    <x v="3"/>
    <x v="2"/>
    <x v="1"/>
    <s v="Headphones"/>
    <n v="35949"/>
    <x v="0"/>
    <n v="0.04"/>
    <n v="5385"/>
    <x v="5"/>
    <n v="2024"/>
  </r>
  <r>
    <n v="8158"/>
    <d v="2024-05-13T00:00:00"/>
    <s v="2024-05-20"/>
    <x v="3"/>
    <x v="6"/>
    <x v="6"/>
    <x v="2"/>
    <x v="2"/>
    <s v="Sofa"/>
    <n v="40368"/>
    <x v="17"/>
    <n v="0.22"/>
    <n v="2083"/>
    <x v="4"/>
    <n v="2024"/>
  </r>
  <r>
    <n v="8159"/>
    <d v="2024-01-31T00:00:00"/>
    <s v="2024-02-04"/>
    <x v="2"/>
    <x v="5"/>
    <x v="5"/>
    <x v="1"/>
    <x v="1"/>
    <s v="Laptop"/>
    <n v="20645"/>
    <x v="13"/>
    <n v="0.27"/>
    <n v="4898"/>
    <x v="5"/>
    <n v="2024"/>
  </r>
  <r>
    <n v="8160"/>
    <d v="2024-02-03T00:00:00"/>
    <s v="2024-02-09"/>
    <x v="1"/>
    <x v="1"/>
    <x v="1"/>
    <x v="1"/>
    <x v="1"/>
    <s v="Mobile"/>
    <n v="54634"/>
    <x v="1"/>
    <n v="0.01"/>
    <n v="5125"/>
    <x v="2"/>
    <n v="2024"/>
  </r>
  <r>
    <n v="8161"/>
    <d v="2024-02-06T00:00:00"/>
    <s v="2024-02-10"/>
    <x v="1"/>
    <x v="7"/>
    <x v="7"/>
    <x v="2"/>
    <x v="1"/>
    <s v="Headphones"/>
    <n v="46292"/>
    <x v="16"/>
    <n v="0.04"/>
    <n v="8874"/>
    <x v="2"/>
    <n v="2024"/>
  </r>
  <r>
    <n v="8162"/>
    <d v="2024-01-17T00:00:00"/>
    <s v="2024-01-19"/>
    <x v="0"/>
    <x v="0"/>
    <x v="0"/>
    <x v="2"/>
    <x v="0"/>
    <s v="Paper"/>
    <n v="2026"/>
    <x v="13"/>
    <n v="0.23"/>
    <n v="298"/>
    <x v="5"/>
    <n v="2024"/>
  </r>
  <r>
    <n v="8163"/>
    <d v="2024-05-18T00:00:00"/>
    <s v="2024-05-21"/>
    <x v="2"/>
    <x v="5"/>
    <x v="5"/>
    <x v="2"/>
    <x v="0"/>
    <s v="Paper"/>
    <n v="72894"/>
    <x v="9"/>
    <n v="0.04"/>
    <n v="13203"/>
    <x v="4"/>
    <n v="2024"/>
  </r>
  <r>
    <n v="8164"/>
    <d v="2024-05-24T00:00:00"/>
    <s v="2024-05-26"/>
    <x v="0"/>
    <x v="3"/>
    <x v="3"/>
    <x v="1"/>
    <x v="1"/>
    <s v="Laptop"/>
    <n v="5556"/>
    <x v="1"/>
    <n v="0.3"/>
    <n v="401"/>
    <x v="4"/>
    <n v="2024"/>
  </r>
  <r>
    <n v="8165"/>
    <d v="2024-06-14T00:00:00"/>
    <s v="2024-06-20"/>
    <x v="0"/>
    <x v="3"/>
    <x v="3"/>
    <x v="2"/>
    <x v="1"/>
    <s v="Mobile"/>
    <n v="24836"/>
    <x v="0"/>
    <n v="0.24"/>
    <n v="2715"/>
    <x v="1"/>
    <n v="2024"/>
  </r>
  <r>
    <n v="8166"/>
    <d v="2024-03-18T00:00:00"/>
    <s v="2024-03-24"/>
    <x v="2"/>
    <x v="2"/>
    <x v="2"/>
    <x v="0"/>
    <x v="1"/>
    <s v="Laptop"/>
    <n v="37321"/>
    <x v="18"/>
    <n v="0.01"/>
    <n v="4290"/>
    <x v="0"/>
    <n v="2024"/>
  </r>
  <r>
    <n v="8167"/>
    <d v="2024-01-10T00:00:00"/>
    <s v="2024-01-13"/>
    <x v="3"/>
    <x v="4"/>
    <x v="4"/>
    <x v="1"/>
    <x v="0"/>
    <s v="File"/>
    <n v="36214"/>
    <x v="15"/>
    <n v="0.01"/>
    <n v="7691"/>
    <x v="5"/>
    <n v="2024"/>
  </r>
  <r>
    <n v="8168"/>
    <d v="2024-06-08T00:00:00"/>
    <s v="2024-06-14"/>
    <x v="2"/>
    <x v="5"/>
    <x v="5"/>
    <x v="1"/>
    <x v="1"/>
    <s v="Headphones"/>
    <n v="56130"/>
    <x v="0"/>
    <n v="0.26"/>
    <n v="13890"/>
    <x v="1"/>
    <n v="2024"/>
  </r>
  <r>
    <n v="8169"/>
    <d v="2024-04-12T00:00:00"/>
    <s v="2024-04-18"/>
    <x v="3"/>
    <x v="6"/>
    <x v="6"/>
    <x v="0"/>
    <x v="1"/>
    <s v="Mobile"/>
    <n v="12132"/>
    <x v="6"/>
    <n v="0.25"/>
    <n v="1800"/>
    <x v="3"/>
    <n v="2024"/>
  </r>
  <r>
    <n v="8170"/>
    <d v="2024-01-21T00:00:00"/>
    <s v="2024-01-24"/>
    <x v="1"/>
    <x v="7"/>
    <x v="7"/>
    <x v="0"/>
    <x v="1"/>
    <s v="Laptop"/>
    <n v="66303"/>
    <x v="15"/>
    <n v="0.05"/>
    <n v="9593"/>
    <x v="5"/>
    <n v="2024"/>
  </r>
  <r>
    <n v="8171"/>
    <d v="2024-05-02T00:00:00"/>
    <s v="2024-05-03"/>
    <x v="2"/>
    <x v="2"/>
    <x v="2"/>
    <x v="1"/>
    <x v="0"/>
    <s v="Paper"/>
    <n v="46462"/>
    <x v="18"/>
    <n v="0.22"/>
    <n v="6207"/>
    <x v="4"/>
    <n v="2024"/>
  </r>
  <r>
    <n v="8172"/>
    <d v="2024-04-30T00:00:00"/>
    <s v="2024-05-02"/>
    <x v="0"/>
    <x v="3"/>
    <x v="3"/>
    <x v="2"/>
    <x v="0"/>
    <s v="File"/>
    <n v="64915"/>
    <x v="14"/>
    <n v="7.0000000000000007E-2"/>
    <n v="6290"/>
    <x v="3"/>
    <n v="2024"/>
  </r>
  <r>
    <n v="8173"/>
    <d v="2024-04-13T00:00:00"/>
    <s v="2024-04-19"/>
    <x v="1"/>
    <x v="1"/>
    <x v="1"/>
    <x v="0"/>
    <x v="1"/>
    <s v="Laptop"/>
    <n v="74102"/>
    <x v="14"/>
    <n v="0.22"/>
    <n v="12048"/>
    <x v="3"/>
    <n v="2024"/>
  </r>
  <r>
    <n v="8174"/>
    <d v="2024-04-23T00:00:00"/>
    <s v="2024-04-30"/>
    <x v="1"/>
    <x v="7"/>
    <x v="7"/>
    <x v="0"/>
    <x v="2"/>
    <s v="Sofa"/>
    <n v="50515"/>
    <x v="4"/>
    <n v="7.0000000000000007E-2"/>
    <n v="8038"/>
    <x v="3"/>
    <n v="2024"/>
  </r>
  <r>
    <n v="8175"/>
    <d v="2024-04-29T00:00:00"/>
    <s v="2024-04-30"/>
    <x v="1"/>
    <x v="1"/>
    <x v="1"/>
    <x v="0"/>
    <x v="2"/>
    <s v="Chair"/>
    <n v="9559"/>
    <x v="2"/>
    <n v="0.18"/>
    <n v="2183"/>
    <x v="3"/>
    <n v="2024"/>
  </r>
  <r>
    <n v="8176"/>
    <d v="2024-05-02T00:00:00"/>
    <s v="2024-05-04"/>
    <x v="2"/>
    <x v="5"/>
    <x v="5"/>
    <x v="0"/>
    <x v="1"/>
    <s v="Headphones"/>
    <n v="1523"/>
    <x v="12"/>
    <n v="0.17"/>
    <n v="273"/>
    <x v="4"/>
    <n v="2024"/>
  </r>
  <r>
    <n v="8177"/>
    <d v="2024-03-20T00:00:00"/>
    <s v="2024-03-26"/>
    <x v="0"/>
    <x v="3"/>
    <x v="3"/>
    <x v="0"/>
    <x v="0"/>
    <s v="Pen"/>
    <n v="29788"/>
    <x v="16"/>
    <n v="7.0000000000000007E-2"/>
    <n v="6141"/>
    <x v="0"/>
    <n v="2024"/>
  </r>
  <r>
    <n v="8178"/>
    <d v="2024-02-15T00:00:00"/>
    <s v="2024-02-16"/>
    <x v="0"/>
    <x v="3"/>
    <x v="3"/>
    <x v="1"/>
    <x v="2"/>
    <s v="Table"/>
    <n v="7309"/>
    <x v="11"/>
    <n v="7.0000000000000007E-2"/>
    <n v="663"/>
    <x v="2"/>
    <n v="2024"/>
  </r>
  <r>
    <n v="8179"/>
    <d v="2024-04-03T00:00:00"/>
    <s v="2024-04-07"/>
    <x v="2"/>
    <x v="2"/>
    <x v="2"/>
    <x v="1"/>
    <x v="1"/>
    <s v="Laptop"/>
    <n v="73022"/>
    <x v="13"/>
    <n v="0.16"/>
    <n v="11131"/>
    <x v="3"/>
    <n v="2024"/>
  </r>
  <r>
    <n v="8180"/>
    <d v="2024-01-08T00:00:00"/>
    <s v="2024-01-13"/>
    <x v="2"/>
    <x v="2"/>
    <x v="2"/>
    <x v="1"/>
    <x v="0"/>
    <s v="File"/>
    <n v="11959"/>
    <x v="9"/>
    <n v="0.25"/>
    <n v="2529"/>
    <x v="5"/>
    <n v="2024"/>
  </r>
  <r>
    <n v="8181"/>
    <d v="2024-03-14T00:00:00"/>
    <s v="2024-03-18"/>
    <x v="2"/>
    <x v="2"/>
    <x v="2"/>
    <x v="1"/>
    <x v="2"/>
    <s v="Sofa"/>
    <n v="13872"/>
    <x v="1"/>
    <n v="0.23"/>
    <n v="1547"/>
    <x v="0"/>
    <n v="2024"/>
  </r>
  <r>
    <n v="8182"/>
    <d v="2024-05-11T00:00:00"/>
    <s v="2024-05-14"/>
    <x v="2"/>
    <x v="2"/>
    <x v="2"/>
    <x v="1"/>
    <x v="2"/>
    <s v="Chair"/>
    <n v="29287"/>
    <x v="2"/>
    <n v="0.05"/>
    <n v="2835"/>
    <x v="4"/>
    <n v="2024"/>
  </r>
  <r>
    <n v="8183"/>
    <d v="2024-06-28T00:00:00"/>
    <s v="2024-06-30"/>
    <x v="1"/>
    <x v="1"/>
    <x v="1"/>
    <x v="1"/>
    <x v="0"/>
    <s v="Pen"/>
    <n v="19424"/>
    <x v="5"/>
    <n v="0.25"/>
    <n v="4336"/>
    <x v="1"/>
    <n v="2024"/>
  </r>
  <r>
    <n v="8184"/>
    <d v="2024-04-14T00:00:00"/>
    <s v="2024-04-18"/>
    <x v="1"/>
    <x v="1"/>
    <x v="1"/>
    <x v="0"/>
    <x v="0"/>
    <s v="File"/>
    <n v="68997"/>
    <x v="14"/>
    <n v="0.1"/>
    <n v="5520"/>
    <x v="3"/>
    <n v="2024"/>
  </r>
  <r>
    <n v="8185"/>
    <d v="2024-06-19T00:00:00"/>
    <s v="2024-06-23"/>
    <x v="2"/>
    <x v="2"/>
    <x v="2"/>
    <x v="2"/>
    <x v="1"/>
    <s v="Laptop"/>
    <n v="16530"/>
    <x v="5"/>
    <n v="0.13"/>
    <n v="1541"/>
    <x v="1"/>
    <n v="2024"/>
  </r>
  <r>
    <n v="8186"/>
    <d v="2024-04-06T00:00:00"/>
    <s v="2024-04-07"/>
    <x v="1"/>
    <x v="1"/>
    <x v="1"/>
    <x v="0"/>
    <x v="1"/>
    <s v="Laptop"/>
    <n v="75697"/>
    <x v="11"/>
    <n v="0.17"/>
    <n v="14516"/>
    <x v="3"/>
    <n v="2024"/>
  </r>
  <r>
    <n v="8187"/>
    <d v="2024-06-21T00:00:00"/>
    <s v="2024-06-24"/>
    <x v="3"/>
    <x v="4"/>
    <x v="4"/>
    <x v="2"/>
    <x v="2"/>
    <s v="Chair"/>
    <n v="70302"/>
    <x v="17"/>
    <n v="0.26"/>
    <n v="5804"/>
    <x v="1"/>
    <n v="2024"/>
  </r>
  <r>
    <n v="8188"/>
    <d v="2024-01-17T00:00:00"/>
    <s v="2024-01-22"/>
    <x v="2"/>
    <x v="5"/>
    <x v="5"/>
    <x v="0"/>
    <x v="1"/>
    <s v="Laptop"/>
    <n v="68983"/>
    <x v="7"/>
    <n v="0"/>
    <n v="11906"/>
    <x v="5"/>
    <n v="2024"/>
  </r>
  <r>
    <n v="8189"/>
    <d v="2024-05-09T00:00:00"/>
    <s v="2024-05-13"/>
    <x v="1"/>
    <x v="7"/>
    <x v="7"/>
    <x v="0"/>
    <x v="2"/>
    <s v="Chair"/>
    <n v="24664"/>
    <x v="8"/>
    <n v="0.25"/>
    <n v="4159"/>
    <x v="4"/>
    <n v="2024"/>
  </r>
  <r>
    <n v="8190"/>
    <d v="2024-01-15T00:00:00"/>
    <s v="2024-01-17"/>
    <x v="3"/>
    <x v="4"/>
    <x v="4"/>
    <x v="1"/>
    <x v="0"/>
    <s v="Paper"/>
    <n v="39324"/>
    <x v="16"/>
    <n v="0.15"/>
    <n v="8312"/>
    <x v="5"/>
    <n v="2024"/>
  </r>
  <r>
    <n v="8191"/>
    <d v="2024-03-19T00:00:00"/>
    <s v="2024-03-23"/>
    <x v="1"/>
    <x v="7"/>
    <x v="7"/>
    <x v="0"/>
    <x v="2"/>
    <s v="Chair"/>
    <n v="50372"/>
    <x v="8"/>
    <n v="0.19"/>
    <n v="5852"/>
    <x v="0"/>
    <n v="2024"/>
  </r>
  <r>
    <n v="8192"/>
    <d v="2024-01-14T00:00:00"/>
    <s v="2024-01-16"/>
    <x v="1"/>
    <x v="7"/>
    <x v="7"/>
    <x v="2"/>
    <x v="2"/>
    <s v="Sofa"/>
    <n v="11594"/>
    <x v="15"/>
    <n v="0.03"/>
    <n v="1591"/>
    <x v="5"/>
    <n v="2024"/>
  </r>
  <r>
    <n v="8193"/>
    <d v="2024-02-16T00:00:00"/>
    <s v="2024-02-17"/>
    <x v="3"/>
    <x v="6"/>
    <x v="6"/>
    <x v="1"/>
    <x v="2"/>
    <s v="Chair"/>
    <n v="62728"/>
    <x v="0"/>
    <n v="0.2"/>
    <n v="6703"/>
    <x v="2"/>
    <n v="2024"/>
  </r>
  <r>
    <n v="8194"/>
    <d v="2024-05-24T00:00:00"/>
    <s v="2024-05-29"/>
    <x v="0"/>
    <x v="3"/>
    <x v="3"/>
    <x v="0"/>
    <x v="2"/>
    <s v="Table"/>
    <n v="20198"/>
    <x v="12"/>
    <n v="0.2"/>
    <n v="1742"/>
    <x v="4"/>
    <n v="2024"/>
  </r>
  <r>
    <n v="8195"/>
    <d v="2024-06-26T00:00:00"/>
    <s v="2024-06-28"/>
    <x v="2"/>
    <x v="2"/>
    <x v="2"/>
    <x v="1"/>
    <x v="0"/>
    <s v="Pen"/>
    <n v="43308"/>
    <x v="9"/>
    <n v="0.24"/>
    <n v="8939"/>
    <x v="1"/>
    <n v="2024"/>
  </r>
  <r>
    <n v="8196"/>
    <d v="2024-02-19T00:00:00"/>
    <s v="2024-02-21"/>
    <x v="3"/>
    <x v="4"/>
    <x v="4"/>
    <x v="2"/>
    <x v="1"/>
    <s v="Mobile"/>
    <n v="9345"/>
    <x v="19"/>
    <n v="0.09"/>
    <n v="1837"/>
    <x v="2"/>
    <n v="2024"/>
  </r>
  <r>
    <n v="8197"/>
    <d v="2024-04-09T00:00:00"/>
    <s v="2024-04-11"/>
    <x v="2"/>
    <x v="2"/>
    <x v="2"/>
    <x v="2"/>
    <x v="2"/>
    <s v="Chair"/>
    <n v="25677"/>
    <x v="14"/>
    <n v="0.17"/>
    <n v="3597"/>
    <x v="3"/>
    <n v="2024"/>
  </r>
  <r>
    <n v="8198"/>
    <d v="2024-03-04T00:00:00"/>
    <s v="2024-03-06"/>
    <x v="1"/>
    <x v="1"/>
    <x v="1"/>
    <x v="0"/>
    <x v="2"/>
    <s v="Table"/>
    <n v="34019"/>
    <x v="18"/>
    <n v="0.28999999999999998"/>
    <n v="4326"/>
    <x v="0"/>
    <n v="2024"/>
  </r>
  <r>
    <n v="8199"/>
    <d v="2024-01-04T00:00:00"/>
    <s v="2024-01-06"/>
    <x v="2"/>
    <x v="2"/>
    <x v="2"/>
    <x v="2"/>
    <x v="2"/>
    <s v="Table"/>
    <n v="43503"/>
    <x v="3"/>
    <n v="0.18"/>
    <n v="3244"/>
    <x v="5"/>
    <n v="2024"/>
  </r>
  <r>
    <n v="8200"/>
    <d v="2024-05-22T00:00:00"/>
    <s v="2024-05-27"/>
    <x v="1"/>
    <x v="7"/>
    <x v="7"/>
    <x v="1"/>
    <x v="1"/>
    <s v="Headphones"/>
    <n v="60865"/>
    <x v="3"/>
    <n v="0.13"/>
    <n v="7389"/>
    <x v="4"/>
    <n v="2024"/>
  </r>
  <r>
    <n v="8201"/>
    <d v="2024-06-09T00:00:00"/>
    <s v="2024-06-10"/>
    <x v="1"/>
    <x v="7"/>
    <x v="7"/>
    <x v="1"/>
    <x v="0"/>
    <s v="File"/>
    <n v="4837"/>
    <x v="7"/>
    <n v="0.28000000000000003"/>
    <n v="446"/>
    <x v="1"/>
    <n v="2024"/>
  </r>
  <r>
    <n v="8202"/>
    <d v="2024-01-07T00:00:00"/>
    <s v="2024-01-13"/>
    <x v="0"/>
    <x v="0"/>
    <x v="0"/>
    <x v="1"/>
    <x v="1"/>
    <s v="Mobile"/>
    <n v="78885"/>
    <x v="10"/>
    <n v="0.26"/>
    <n v="16617"/>
    <x v="5"/>
    <n v="2024"/>
  </r>
  <r>
    <n v="8203"/>
    <d v="2024-04-21T00:00:00"/>
    <s v="2024-04-28"/>
    <x v="0"/>
    <x v="0"/>
    <x v="0"/>
    <x v="0"/>
    <x v="2"/>
    <s v="Sofa"/>
    <n v="71207"/>
    <x v="7"/>
    <n v="0.05"/>
    <n v="4260"/>
    <x v="3"/>
    <n v="2024"/>
  </r>
  <r>
    <n v="8204"/>
    <d v="2024-03-22T00:00:00"/>
    <s v="2024-03-26"/>
    <x v="1"/>
    <x v="7"/>
    <x v="7"/>
    <x v="1"/>
    <x v="0"/>
    <s v="Pen"/>
    <n v="43997"/>
    <x v="19"/>
    <n v="0.25"/>
    <n v="2397"/>
    <x v="0"/>
    <n v="2024"/>
  </r>
  <r>
    <n v="8205"/>
    <d v="2024-01-01T00:00:00"/>
    <s v="2024-01-08"/>
    <x v="3"/>
    <x v="6"/>
    <x v="6"/>
    <x v="0"/>
    <x v="1"/>
    <s v="Headphones"/>
    <n v="52760"/>
    <x v="0"/>
    <n v="0.22"/>
    <n v="7027"/>
    <x v="5"/>
    <n v="2024"/>
  </r>
  <r>
    <n v="8206"/>
    <d v="2024-03-22T00:00:00"/>
    <s v="2024-03-27"/>
    <x v="3"/>
    <x v="6"/>
    <x v="6"/>
    <x v="1"/>
    <x v="2"/>
    <s v="Sofa"/>
    <n v="61964"/>
    <x v="3"/>
    <n v="0.19"/>
    <n v="4715"/>
    <x v="0"/>
    <n v="2024"/>
  </r>
  <r>
    <n v="8207"/>
    <d v="2024-02-29T00:00:00"/>
    <s v="2024-03-06"/>
    <x v="0"/>
    <x v="0"/>
    <x v="0"/>
    <x v="0"/>
    <x v="2"/>
    <s v="Sofa"/>
    <n v="15747"/>
    <x v="3"/>
    <n v="0.01"/>
    <n v="2739"/>
    <x v="2"/>
    <n v="2024"/>
  </r>
  <r>
    <n v="8208"/>
    <d v="2024-03-30T00:00:00"/>
    <s v="2024-04-05"/>
    <x v="1"/>
    <x v="7"/>
    <x v="7"/>
    <x v="0"/>
    <x v="2"/>
    <s v="Chair"/>
    <n v="74391"/>
    <x v="1"/>
    <n v="7.0000000000000007E-2"/>
    <n v="7345"/>
    <x v="0"/>
    <n v="2024"/>
  </r>
  <r>
    <n v="8209"/>
    <d v="2024-02-10T00:00:00"/>
    <s v="2024-02-16"/>
    <x v="0"/>
    <x v="0"/>
    <x v="0"/>
    <x v="0"/>
    <x v="2"/>
    <s v="Chair"/>
    <n v="16547"/>
    <x v="14"/>
    <n v="0"/>
    <n v="3681"/>
    <x v="2"/>
    <n v="2024"/>
  </r>
  <r>
    <n v="8210"/>
    <d v="2024-05-23T00:00:00"/>
    <s v="2024-05-26"/>
    <x v="2"/>
    <x v="5"/>
    <x v="5"/>
    <x v="2"/>
    <x v="1"/>
    <s v="Laptop"/>
    <n v="60510"/>
    <x v="6"/>
    <n v="0.27"/>
    <n v="3962"/>
    <x v="4"/>
    <n v="2024"/>
  </r>
  <r>
    <n v="8211"/>
    <d v="2024-06-11T00:00:00"/>
    <s v="2024-06-14"/>
    <x v="0"/>
    <x v="3"/>
    <x v="3"/>
    <x v="2"/>
    <x v="0"/>
    <s v="Paper"/>
    <n v="73048"/>
    <x v="19"/>
    <n v="0.25"/>
    <n v="15943"/>
    <x v="1"/>
    <n v="2024"/>
  </r>
  <r>
    <n v="8212"/>
    <d v="2024-01-20T00:00:00"/>
    <s v="2024-01-24"/>
    <x v="0"/>
    <x v="3"/>
    <x v="3"/>
    <x v="1"/>
    <x v="0"/>
    <s v="Pen"/>
    <n v="38571"/>
    <x v="14"/>
    <n v="0.14000000000000001"/>
    <n v="6182"/>
    <x v="5"/>
    <n v="2024"/>
  </r>
  <r>
    <n v="8213"/>
    <d v="2024-02-11T00:00:00"/>
    <s v="2024-02-18"/>
    <x v="3"/>
    <x v="4"/>
    <x v="4"/>
    <x v="0"/>
    <x v="1"/>
    <s v="Laptop"/>
    <n v="46967"/>
    <x v="6"/>
    <n v="0.06"/>
    <n v="5602"/>
    <x v="2"/>
    <n v="2024"/>
  </r>
  <r>
    <n v="8214"/>
    <d v="2024-05-04T00:00:00"/>
    <s v="2024-05-09"/>
    <x v="3"/>
    <x v="6"/>
    <x v="6"/>
    <x v="1"/>
    <x v="2"/>
    <s v="Table"/>
    <n v="54201"/>
    <x v="1"/>
    <n v="0.25"/>
    <n v="7027"/>
    <x v="4"/>
    <n v="2024"/>
  </r>
  <r>
    <n v="8215"/>
    <d v="2024-02-14T00:00:00"/>
    <s v="2024-02-17"/>
    <x v="0"/>
    <x v="0"/>
    <x v="0"/>
    <x v="1"/>
    <x v="0"/>
    <s v="Paper"/>
    <n v="23472"/>
    <x v="14"/>
    <n v="0.28999999999999998"/>
    <n v="3400"/>
    <x v="2"/>
    <n v="2024"/>
  </r>
  <r>
    <n v="8216"/>
    <d v="2024-03-23T00:00:00"/>
    <s v="2024-03-24"/>
    <x v="1"/>
    <x v="1"/>
    <x v="1"/>
    <x v="1"/>
    <x v="1"/>
    <s v="Laptop"/>
    <n v="12044"/>
    <x v="2"/>
    <n v="0.02"/>
    <n v="1903"/>
    <x v="0"/>
    <n v="2024"/>
  </r>
  <r>
    <n v="8217"/>
    <d v="2024-03-14T00:00:00"/>
    <s v="2024-03-21"/>
    <x v="2"/>
    <x v="2"/>
    <x v="2"/>
    <x v="1"/>
    <x v="1"/>
    <s v="Laptop"/>
    <n v="11972"/>
    <x v="6"/>
    <n v="0.05"/>
    <n v="677"/>
    <x v="0"/>
    <n v="2024"/>
  </r>
  <r>
    <n v="8218"/>
    <d v="2024-05-14T00:00:00"/>
    <s v="2024-05-15"/>
    <x v="1"/>
    <x v="7"/>
    <x v="7"/>
    <x v="0"/>
    <x v="1"/>
    <s v="Mobile"/>
    <n v="4382"/>
    <x v="11"/>
    <n v="0.17"/>
    <n v="894"/>
    <x v="4"/>
    <n v="2024"/>
  </r>
  <r>
    <n v="8219"/>
    <d v="2024-03-31T00:00:00"/>
    <s v="2024-04-06"/>
    <x v="1"/>
    <x v="1"/>
    <x v="1"/>
    <x v="1"/>
    <x v="0"/>
    <s v="Pen"/>
    <n v="44796"/>
    <x v="18"/>
    <n v="0.21"/>
    <n v="6199"/>
    <x v="0"/>
    <n v="2024"/>
  </r>
  <r>
    <n v="8220"/>
    <d v="2024-06-08T00:00:00"/>
    <s v="2024-06-09"/>
    <x v="0"/>
    <x v="0"/>
    <x v="0"/>
    <x v="2"/>
    <x v="1"/>
    <s v="Mobile"/>
    <n v="52325"/>
    <x v="14"/>
    <n v="0.05"/>
    <n v="6947"/>
    <x v="1"/>
    <n v="2024"/>
  </r>
  <r>
    <n v="8221"/>
    <d v="2024-04-06T00:00:00"/>
    <s v="2024-04-07"/>
    <x v="0"/>
    <x v="3"/>
    <x v="3"/>
    <x v="1"/>
    <x v="0"/>
    <s v="Pen"/>
    <n v="21949"/>
    <x v="10"/>
    <n v="0.03"/>
    <n v="2870"/>
    <x v="3"/>
    <n v="2024"/>
  </r>
  <r>
    <n v="8222"/>
    <d v="2024-02-24T00:00:00"/>
    <s v="2024-02-27"/>
    <x v="2"/>
    <x v="2"/>
    <x v="2"/>
    <x v="1"/>
    <x v="2"/>
    <s v="Table"/>
    <n v="15937"/>
    <x v="3"/>
    <n v="0.24"/>
    <n v="3070"/>
    <x v="2"/>
    <n v="2024"/>
  </r>
  <r>
    <n v="8223"/>
    <d v="2024-06-10T00:00:00"/>
    <s v="2024-06-14"/>
    <x v="3"/>
    <x v="6"/>
    <x v="6"/>
    <x v="1"/>
    <x v="0"/>
    <s v="File"/>
    <n v="43084"/>
    <x v="19"/>
    <n v="0.2"/>
    <n v="7999"/>
    <x v="1"/>
    <n v="2024"/>
  </r>
  <r>
    <n v="8224"/>
    <d v="2024-02-06T00:00:00"/>
    <s v="2024-02-07"/>
    <x v="3"/>
    <x v="6"/>
    <x v="6"/>
    <x v="2"/>
    <x v="2"/>
    <s v="Chair"/>
    <n v="16227"/>
    <x v="10"/>
    <n v="0.08"/>
    <n v="3763"/>
    <x v="2"/>
    <n v="2024"/>
  </r>
  <r>
    <n v="8225"/>
    <d v="2024-03-15T00:00:00"/>
    <s v="2024-03-18"/>
    <x v="3"/>
    <x v="6"/>
    <x v="6"/>
    <x v="2"/>
    <x v="0"/>
    <s v="Pen"/>
    <n v="49189"/>
    <x v="6"/>
    <n v="0.17"/>
    <n v="11845"/>
    <x v="0"/>
    <n v="2024"/>
  </r>
  <r>
    <n v="8226"/>
    <d v="2024-03-02T00:00:00"/>
    <s v="2024-03-09"/>
    <x v="3"/>
    <x v="6"/>
    <x v="6"/>
    <x v="0"/>
    <x v="2"/>
    <s v="Chair"/>
    <n v="16895"/>
    <x v="16"/>
    <n v="0.24"/>
    <n v="3392"/>
    <x v="0"/>
    <n v="2024"/>
  </r>
  <r>
    <n v="8227"/>
    <d v="2024-03-22T00:00:00"/>
    <s v="2024-03-24"/>
    <x v="3"/>
    <x v="4"/>
    <x v="4"/>
    <x v="1"/>
    <x v="1"/>
    <s v="Headphones"/>
    <n v="42173"/>
    <x v="12"/>
    <n v="7.0000000000000007E-2"/>
    <n v="5551"/>
    <x v="0"/>
    <n v="2024"/>
  </r>
  <r>
    <n v="8228"/>
    <d v="2024-05-26T00:00:00"/>
    <s v="2024-06-01"/>
    <x v="3"/>
    <x v="6"/>
    <x v="6"/>
    <x v="0"/>
    <x v="2"/>
    <s v="Chair"/>
    <n v="11058"/>
    <x v="7"/>
    <n v="0.12"/>
    <n v="1161"/>
    <x v="4"/>
    <n v="2024"/>
  </r>
  <r>
    <n v="8229"/>
    <d v="2024-05-18T00:00:00"/>
    <s v="2024-05-22"/>
    <x v="1"/>
    <x v="7"/>
    <x v="7"/>
    <x v="1"/>
    <x v="0"/>
    <s v="Paper"/>
    <n v="17894"/>
    <x v="13"/>
    <n v="0.23"/>
    <n v="3299"/>
    <x v="4"/>
    <n v="2024"/>
  </r>
  <r>
    <n v="8230"/>
    <d v="2024-05-20T00:00:00"/>
    <s v="2024-05-21"/>
    <x v="3"/>
    <x v="4"/>
    <x v="4"/>
    <x v="1"/>
    <x v="1"/>
    <s v="Mobile"/>
    <n v="32383"/>
    <x v="3"/>
    <n v="0.01"/>
    <n v="3027"/>
    <x v="4"/>
    <n v="2024"/>
  </r>
  <r>
    <n v="8231"/>
    <d v="2024-02-04T00:00:00"/>
    <s v="2024-02-10"/>
    <x v="0"/>
    <x v="3"/>
    <x v="3"/>
    <x v="2"/>
    <x v="0"/>
    <s v="Paper"/>
    <n v="66512"/>
    <x v="7"/>
    <n v="0.05"/>
    <n v="6767"/>
    <x v="2"/>
    <n v="2024"/>
  </r>
  <r>
    <n v="8232"/>
    <d v="2024-02-25T00:00:00"/>
    <s v="2024-02-28"/>
    <x v="2"/>
    <x v="5"/>
    <x v="5"/>
    <x v="2"/>
    <x v="0"/>
    <s v="File"/>
    <n v="42387"/>
    <x v="3"/>
    <n v="7.0000000000000007E-2"/>
    <n v="9923"/>
    <x v="2"/>
    <n v="2024"/>
  </r>
  <r>
    <n v="8233"/>
    <d v="2024-02-04T00:00:00"/>
    <s v="2024-02-09"/>
    <x v="1"/>
    <x v="1"/>
    <x v="1"/>
    <x v="2"/>
    <x v="1"/>
    <s v="Headphones"/>
    <n v="56573"/>
    <x v="5"/>
    <n v="0.08"/>
    <n v="12719"/>
    <x v="2"/>
    <n v="2024"/>
  </r>
  <r>
    <n v="8234"/>
    <d v="2024-05-02T00:00:00"/>
    <s v="2024-05-09"/>
    <x v="3"/>
    <x v="4"/>
    <x v="4"/>
    <x v="2"/>
    <x v="1"/>
    <s v="Headphones"/>
    <n v="14563"/>
    <x v="12"/>
    <n v="0.19"/>
    <n v="2814"/>
    <x v="4"/>
    <n v="2024"/>
  </r>
  <r>
    <n v="8235"/>
    <d v="2024-02-06T00:00:00"/>
    <s v="2024-02-08"/>
    <x v="0"/>
    <x v="3"/>
    <x v="3"/>
    <x v="0"/>
    <x v="2"/>
    <s v="Sofa"/>
    <n v="14148"/>
    <x v="2"/>
    <n v="0.1"/>
    <n v="3292"/>
    <x v="2"/>
    <n v="2024"/>
  </r>
  <r>
    <n v="8236"/>
    <d v="2024-02-16T00:00:00"/>
    <s v="2024-02-19"/>
    <x v="1"/>
    <x v="1"/>
    <x v="1"/>
    <x v="2"/>
    <x v="2"/>
    <s v="Sofa"/>
    <n v="58692"/>
    <x v="13"/>
    <n v="0.02"/>
    <n v="11117"/>
    <x v="2"/>
    <n v="2024"/>
  </r>
  <r>
    <n v="8237"/>
    <d v="2024-04-30T00:00:00"/>
    <s v="2024-05-07"/>
    <x v="0"/>
    <x v="3"/>
    <x v="3"/>
    <x v="1"/>
    <x v="2"/>
    <s v="Sofa"/>
    <n v="34493"/>
    <x v="14"/>
    <n v="0.16"/>
    <n v="2654"/>
    <x v="3"/>
    <n v="2024"/>
  </r>
  <r>
    <n v="8238"/>
    <d v="2024-01-14T00:00:00"/>
    <s v="2024-01-19"/>
    <x v="0"/>
    <x v="0"/>
    <x v="0"/>
    <x v="1"/>
    <x v="2"/>
    <s v="Chair"/>
    <n v="5608"/>
    <x v="19"/>
    <n v="0.28000000000000003"/>
    <n v="613"/>
    <x v="5"/>
    <n v="2024"/>
  </r>
  <r>
    <n v="8239"/>
    <d v="2024-04-16T00:00:00"/>
    <s v="2024-04-21"/>
    <x v="1"/>
    <x v="7"/>
    <x v="7"/>
    <x v="2"/>
    <x v="0"/>
    <s v="Pen"/>
    <n v="41011"/>
    <x v="13"/>
    <n v="0.17"/>
    <n v="6688"/>
    <x v="3"/>
    <n v="2024"/>
  </r>
  <r>
    <n v="8240"/>
    <d v="2024-03-30T00:00:00"/>
    <s v="2024-04-01"/>
    <x v="1"/>
    <x v="1"/>
    <x v="1"/>
    <x v="0"/>
    <x v="0"/>
    <s v="Paper"/>
    <n v="72986"/>
    <x v="1"/>
    <n v="0.06"/>
    <n v="13790"/>
    <x v="0"/>
    <n v="2024"/>
  </r>
  <r>
    <n v="8241"/>
    <d v="2024-05-25T00:00:00"/>
    <s v="2024-05-30"/>
    <x v="1"/>
    <x v="7"/>
    <x v="7"/>
    <x v="2"/>
    <x v="1"/>
    <s v="Headphones"/>
    <n v="35121"/>
    <x v="8"/>
    <n v="0.28999999999999998"/>
    <n v="5870"/>
    <x v="4"/>
    <n v="2024"/>
  </r>
  <r>
    <n v="8242"/>
    <d v="2024-03-08T00:00:00"/>
    <s v="2024-03-12"/>
    <x v="0"/>
    <x v="0"/>
    <x v="0"/>
    <x v="1"/>
    <x v="0"/>
    <s v="Pen"/>
    <n v="21825"/>
    <x v="12"/>
    <n v="0.24"/>
    <n v="4772"/>
    <x v="0"/>
    <n v="2024"/>
  </r>
  <r>
    <n v="8243"/>
    <d v="2024-02-08T00:00:00"/>
    <s v="2024-02-09"/>
    <x v="3"/>
    <x v="4"/>
    <x v="4"/>
    <x v="0"/>
    <x v="2"/>
    <s v="Table"/>
    <n v="59573"/>
    <x v="13"/>
    <n v="0.28999999999999998"/>
    <n v="14445"/>
    <x v="2"/>
    <n v="2024"/>
  </r>
  <r>
    <n v="8244"/>
    <d v="2024-01-17T00:00:00"/>
    <s v="2024-01-19"/>
    <x v="3"/>
    <x v="4"/>
    <x v="4"/>
    <x v="0"/>
    <x v="2"/>
    <s v="Chair"/>
    <n v="57660"/>
    <x v="2"/>
    <n v="0.06"/>
    <n v="5594"/>
    <x v="5"/>
    <n v="2024"/>
  </r>
  <r>
    <n v="8245"/>
    <d v="2024-06-26T00:00:00"/>
    <s v="2024-06-30"/>
    <x v="0"/>
    <x v="3"/>
    <x v="3"/>
    <x v="2"/>
    <x v="1"/>
    <s v="Laptop"/>
    <n v="38796"/>
    <x v="15"/>
    <n v="0.04"/>
    <n v="9691"/>
    <x v="1"/>
    <n v="2024"/>
  </r>
  <r>
    <n v="8246"/>
    <d v="2024-02-01T00:00:00"/>
    <s v="2024-02-02"/>
    <x v="1"/>
    <x v="7"/>
    <x v="7"/>
    <x v="1"/>
    <x v="1"/>
    <s v="Mobile"/>
    <n v="59851"/>
    <x v="14"/>
    <n v="0.09"/>
    <n v="13437"/>
    <x v="2"/>
    <n v="2024"/>
  </r>
  <r>
    <n v="8247"/>
    <d v="2024-02-18T00:00:00"/>
    <s v="2024-02-23"/>
    <x v="2"/>
    <x v="2"/>
    <x v="2"/>
    <x v="1"/>
    <x v="2"/>
    <s v="Chair"/>
    <n v="30098"/>
    <x v="17"/>
    <n v="0.18"/>
    <n v="5491"/>
    <x v="2"/>
    <n v="2024"/>
  </r>
  <r>
    <n v="8248"/>
    <d v="2024-03-24T00:00:00"/>
    <s v="2024-03-26"/>
    <x v="1"/>
    <x v="1"/>
    <x v="1"/>
    <x v="2"/>
    <x v="0"/>
    <s v="Pen"/>
    <n v="16694"/>
    <x v="16"/>
    <n v="0.02"/>
    <n v="1140"/>
    <x v="0"/>
    <n v="2024"/>
  </r>
  <r>
    <n v="8249"/>
    <d v="2024-06-26T00:00:00"/>
    <s v="2024-07-02"/>
    <x v="3"/>
    <x v="4"/>
    <x v="4"/>
    <x v="0"/>
    <x v="2"/>
    <s v="Sofa"/>
    <n v="52818"/>
    <x v="11"/>
    <n v="0.25"/>
    <n v="2683"/>
    <x v="1"/>
    <n v="2024"/>
  </r>
  <r>
    <n v="8250"/>
    <d v="2024-05-01T00:00:00"/>
    <s v="2024-05-08"/>
    <x v="3"/>
    <x v="6"/>
    <x v="6"/>
    <x v="0"/>
    <x v="2"/>
    <s v="Chair"/>
    <n v="50490"/>
    <x v="16"/>
    <n v="0.05"/>
    <n v="9469"/>
    <x v="4"/>
    <n v="2024"/>
  </r>
  <r>
    <n v="8251"/>
    <d v="2024-04-05T00:00:00"/>
    <s v="2024-04-08"/>
    <x v="0"/>
    <x v="0"/>
    <x v="0"/>
    <x v="1"/>
    <x v="1"/>
    <s v="Headphones"/>
    <n v="1733"/>
    <x v="9"/>
    <n v="0.09"/>
    <n v="401"/>
    <x v="3"/>
    <n v="2024"/>
  </r>
  <r>
    <n v="8252"/>
    <d v="2024-05-09T00:00:00"/>
    <s v="2024-05-14"/>
    <x v="1"/>
    <x v="7"/>
    <x v="7"/>
    <x v="2"/>
    <x v="2"/>
    <s v="Table"/>
    <n v="32496"/>
    <x v="19"/>
    <n v="0.06"/>
    <n v="3584"/>
    <x v="4"/>
    <n v="2024"/>
  </r>
  <r>
    <n v="8253"/>
    <d v="2024-04-30T00:00:00"/>
    <s v="2024-05-01"/>
    <x v="2"/>
    <x v="2"/>
    <x v="2"/>
    <x v="2"/>
    <x v="1"/>
    <s v="Headphones"/>
    <n v="54614"/>
    <x v="9"/>
    <n v="0.19"/>
    <n v="10726"/>
    <x v="3"/>
    <n v="2024"/>
  </r>
  <r>
    <n v="8254"/>
    <d v="2024-02-29T00:00:00"/>
    <s v="2024-03-05"/>
    <x v="2"/>
    <x v="5"/>
    <x v="5"/>
    <x v="2"/>
    <x v="1"/>
    <s v="Headphones"/>
    <n v="2901"/>
    <x v="16"/>
    <n v="0.08"/>
    <n v="708"/>
    <x v="2"/>
    <n v="2024"/>
  </r>
  <r>
    <n v="8255"/>
    <d v="2024-03-27T00:00:00"/>
    <s v="2024-03-30"/>
    <x v="3"/>
    <x v="6"/>
    <x v="6"/>
    <x v="0"/>
    <x v="0"/>
    <s v="File"/>
    <n v="47679"/>
    <x v="14"/>
    <n v="0.13"/>
    <n v="6873"/>
    <x v="0"/>
    <n v="2024"/>
  </r>
  <r>
    <n v="8256"/>
    <d v="2024-02-22T00:00:00"/>
    <s v="2024-02-24"/>
    <x v="2"/>
    <x v="2"/>
    <x v="2"/>
    <x v="2"/>
    <x v="2"/>
    <s v="Table"/>
    <n v="7720"/>
    <x v="4"/>
    <n v="0.06"/>
    <n v="972"/>
    <x v="2"/>
    <n v="2024"/>
  </r>
  <r>
    <n v="8257"/>
    <d v="2024-02-11T00:00:00"/>
    <s v="2024-02-14"/>
    <x v="1"/>
    <x v="7"/>
    <x v="7"/>
    <x v="1"/>
    <x v="1"/>
    <s v="Mobile"/>
    <n v="21771"/>
    <x v="19"/>
    <n v="0.18"/>
    <n v="4907"/>
    <x v="2"/>
    <n v="2024"/>
  </r>
  <r>
    <n v="8258"/>
    <d v="2024-04-23T00:00:00"/>
    <s v="2024-04-25"/>
    <x v="1"/>
    <x v="7"/>
    <x v="7"/>
    <x v="2"/>
    <x v="2"/>
    <s v="Sofa"/>
    <n v="31155"/>
    <x v="10"/>
    <n v="0.02"/>
    <n v="1886"/>
    <x v="3"/>
    <n v="2024"/>
  </r>
  <r>
    <n v="8259"/>
    <d v="2024-01-28T00:00:00"/>
    <s v="2024-01-31"/>
    <x v="2"/>
    <x v="5"/>
    <x v="5"/>
    <x v="2"/>
    <x v="2"/>
    <s v="Table"/>
    <n v="61554"/>
    <x v="16"/>
    <n v="0.08"/>
    <n v="3643"/>
    <x v="5"/>
    <n v="2024"/>
  </r>
  <r>
    <n v="8260"/>
    <d v="2024-02-14T00:00:00"/>
    <s v="2024-02-20"/>
    <x v="0"/>
    <x v="3"/>
    <x v="3"/>
    <x v="1"/>
    <x v="1"/>
    <s v="Mobile"/>
    <n v="59467"/>
    <x v="8"/>
    <n v="0.02"/>
    <n v="5713"/>
    <x v="2"/>
    <n v="2024"/>
  </r>
  <r>
    <n v="8261"/>
    <d v="2024-02-19T00:00:00"/>
    <s v="2024-02-25"/>
    <x v="3"/>
    <x v="4"/>
    <x v="4"/>
    <x v="2"/>
    <x v="0"/>
    <s v="Paper"/>
    <n v="13230"/>
    <x v="7"/>
    <n v="0.21"/>
    <n v="1957"/>
    <x v="2"/>
    <n v="2024"/>
  </r>
  <r>
    <n v="8262"/>
    <d v="2024-04-02T00:00:00"/>
    <s v="2024-04-05"/>
    <x v="1"/>
    <x v="1"/>
    <x v="1"/>
    <x v="2"/>
    <x v="1"/>
    <s v="Headphones"/>
    <n v="57184"/>
    <x v="5"/>
    <n v="0.02"/>
    <n v="12520"/>
    <x v="3"/>
    <n v="2024"/>
  </r>
  <r>
    <n v="8263"/>
    <d v="2024-03-29T00:00:00"/>
    <s v="2024-04-04"/>
    <x v="0"/>
    <x v="3"/>
    <x v="3"/>
    <x v="0"/>
    <x v="0"/>
    <s v="Pen"/>
    <n v="35244"/>
    <x v="8"/>
    <n v="0.28999999999999998"/>
    <n v="1857"/>
    <x v="0"/>
    <n v="2024"/>
  </r>
  <r>
    <n v="8264"/>
    <d v="2024-06-05T00:00:00"/>
    <s v="2024-06-08"/>
    <x v="1"/>
    <x v="7"/>
    <x v="7"/>
    <x v="0"/>
    <x v="2"/>
    <s v="Chair"/>
    <n v="75970"/>
    <x v="18"/>
    <n v="0.11"/>
    <n v="18647"/>
    <x v="1"/>
    <n v="2024"/>
  </r>
  <r>
    <n v="8265"/>
    <d v="2024-02-29T00:00:00"/>
    <s v="2024-03-05"/>
    <x v="3"/>
    <x v="4"/>
    <x v="4"/>
    <x v="1"/>
    <x v="0"/>
    <s v="Paper"/>
    <n v="22105"/>
    <x v="13"/>
    <n v="0.06"/>
    <n v="4678"/>
    <x v="2"/>
    <n v="2024"/>
  </r>
  <r>
    <n v="8266"/>
    <d v="2024-02-09T00:00:00"/>
    <s v="2024-02-11"/>
    <x v="1"/>
    <x v="7"/>
    <x v="7"/>
    <x v="1"/>
    <x v="1"/>
    <s v="Headphones"/>
    <n v="53888"/>
    <x v="19"/>
    <n v="0.18"/>
    <n v="11598"/>
    <x v="2"/>
    <n v="2024"/>
  </r>
  <r>
    <n v="8267"/>
    <d v="2024-04-23T00:00:00"/>
    <s v="2024-04-28"/>
    <x v="0"/>
    <x v="3"/>
    <x v="3"/>
    <x v="0"/>
    <x v="0"/>
    <s v="Pen"/>
    <n v="35346"/>
    <x v="6"/>
    <n v="0.16"/>
    <n v="2832"/>
    <x v="3"/>
    <n v="2024"/>
  </r>
  <r>
    <n v="8268"/>
    <d v="2024-02-08T00:00:00"/>
    <s v="2024-02-14"/>
    <x v="2"/>
    <x v="5"/>
    <x v="5"/>
    <x v="2"/>
    <x v="0"/>
    <s v="Pen"/>
    <n v="29412"/>
    <x v="1"/>
    <n v="0.24"/>
    <n v="2969"/>
    <x v="2"/>
    <n v="2024"/>
  </r>
  <r>
    <n v="8269"/>
    <d v="2024-06-21T00:00:00"/>
    <s v="2024-06-25"/>
    <x v="2"/>
    <x v="5"/>
    <x v="5"/>
    <x v="1"/>
    <x v="1"/>
    <s v="Mobile"/>
    <n v="37869"/>
    <x v="2"/>
    <n v="0.28000000000000003"/>
    <n v="3061"/>
    <x v="1"/>
    <n v="2024"/>
  </r>
  <r>
    <n v="8270"/>
    <d v="2024-05-09T00:00:00"/>
    <s v="2024-05-10"/>
    <x v="0"/>
    <x v="3"/>
    <x v="3"/>
    <x v="1"/>
    <x v="2"/>
    <s v="Table"/>
    <n v="47894"/>
    <x v="14"/>
    <n v="0.17"/>
    <n v="11083"/>
    <x v="4"/>
    <n v="2024"/>
  </r>
  <r>
    <n v="8271"/>
    <d v="2024-05-07T00:00:00"/>
    <s v="2024-05-13"/>
    <x v="3"/>
    <x v="6"/>
    <x v="6"/>
    <x v="2"/>
    <x v="2"/>
    <s v="Sofa"/>
    <n v="59440"/>
    <x v="2"/>
    <n v="0.13"/>
    <n v="4217"/>
    <x v="4"/>
    <n v="2024"/>
  </r>
  <r>
    <n v="8272"/>
    <d v="2024-04-15T00:00:00"/>
    <s v="2024-04-21"/>
    <x v="0"/>
    <x v="3"/>
    <x v="3"/>
    <x v="0"/>
    <x v="0"/>
    <s v="Pen"/>
    <n v="63432"/>
    <x v="3"/>
    <n v="0.27"/>
    <n v="10397"/>
    <x v="3"/>
    <n v="2024"/>
  </r>
  <r>
    <n v="8273"/>
    <d v="2024-03-14T00:00:00"/>
    <s v="2024-03-16"/>
    <x v="1"/>
    <x v="1"/>
    <x v="1"/>
    <x v="2"/>
    <x v="0"/>
    <s v="File"/>
    <n v="13709"/>
    <x v="4"/>
    <n v="0.28999999999999998"/>
    <n v="896"/>
    <x v="0"/>
    <n v="2024"/>
  </r>
  <r>
    <n v="8274"/>
    <d v="2024-05-18T00:00:00"/>
    <s v="2024-05-24"/>
    <x v="1"/>
    <x v="7"/>
    <x v="7"/>
    <x v="2"/>
    <x v="2"/>
    <s v="Sofa"/>
    <n v="37309"/>
    <x v="13"/>
    <n v="0.21"/>
    <n v="7813"/>
    <x v="4"/>
    <n v="2024"/>
  </r>
  <r>
    <n v="8275"/>
    <d v="2024-06-20T00:00:00"/>
    <s v="2024-06-23"/>
    <x v="2"/>
    <x v="2"/>
    <x v="2"/>
    <x v="2"/>
    <x v="2"/>
    <s v="Sofa"/>
    <n v="40898"/>
    <x v="14"/>
    <n v="0.24"/>
    <n v="7383"/>
    <x v="1"/>
    <n v="2024"/>
  </r>
  <r>
    <n v="8276"/>
    <d v="2024-04-17T00:00:00"/>
    <s v="2024-04-19"/>
    <x v="2"/>
    <x v="5"/>
    <x v="5"/>
    <x v="2"/>
    <x v="2"/>
    <s v="Table"/>
    <n v="32238"/>
    <x v="1"/>
    <n v="0.16"/>
    <n v="5358"/>
    <x v="3"/>
    <n v="2024"/>
  </r>
  <r>
    <n v="8277"/>
    <d v="2024-02-20T00:00:00"/>
    <s v="2024-02-27"/>
    <x v="3"/>
    <x v="4"/>
    <x v="4"/>
    <x v="1"/>
    <x v="0"/>
    <s v="Paper"/>
    <n v="49744"/>
    <x v="8"/>
    <n v="0.14000000000000001"/>
    <n v="11009"/>
    <x v="2"/>
    <n v="2024"/>
  </r>
  <r>
    <n v="8278"/>
    <d v="2024-03-31T00:00:00"/>
    <s v="2024-04-07"/>
    <x v="0"/>
    <x v="3"/>
    <x v="3"/>
    <x v="1"/>
    <x v="1"/>
    <s v="Headphones"/>
    <n v="71390"/>
    <x v="1"/>
    <n v="0.19"/>
    <n v="7744"/>
    <x v="0"/>
    <n v="2024"/>
  </r>
  <r>
    <n v="8279"/>
    <d v="2024-02-19T00:00:00"/>
    <s v="2024-02-25"/>
    <x v="3"/>
    <x v="4"/>
    <x v="4"/>
    <x v="2"/>
    <x v="0"/>
    <s v="Pen"/>
    <n v="35986"/>
    <x v="11"/>
    <n v="0.12"/>
    <n v="6513"/>
    <x v="2"/>
    <n v="2024"/>
  </r>
  <r>
    <n v="8280"/>
    <d v="2024-04-05T00:00:00"/>
    <s v="2024-04-08"/>
    <x v="0"/>
    <x v="3"/>
    <x v="3"/>
    <x v="1"/>
    <x v="0"/>
    <s v="File"/>
    <n v="74089"/>
    <x v="17"/>
    <n v="7.0000000000000007E-2"/>
    <n v="7759"/>
    <x v="3"/>
    <n v="2024"/>
  </r>
  <r>
    <n v="8281"/>
    <d v="2024-06-20T00:00:00"/>
    <s v="2024-06-22"/>
    <x v="1"/>
    <x v="7"/>
    <x v="7"/>
    <x v="2"/>
    <x v="2"/>
    <s v="Table"/>
    <n v="68155"/>
    <x v="17"/>
    <n v="0.01"/>
    <n v="15591"/>
    <x v="1"/>
    <n v="2024"/>
  </r>
  <r>
    <n v="8282"/>
    <d v="2024-02-28T00:00:00"/>
    <s v="2024-03-05"/>
    <x v="0"/>
    <x v="0"/>
    <x v="0"/>
    <x v="0"/>
    <x v="1"/>
    <s v="Mobile"/>
    <n v="63009"/>
    <x v="18"/>
    <n v="0.08"/>
    <n v="4279"/>
    <x v="2"/>
    <n v="2024"/>
  </r>
  <r>
    <n v="8283"/>
    <d v="2024-01-24T00:00:00"/>
    <s v="2024-01-25"/>
    <x v="2"/>
    <x v="5"/>
    <x v="5"/>
    <x v="0"/>
    <x v="1"/>
    <s v="Headphones"/>
    <n v="14663"/>
    <x v="19"/>
    <n v="0.12"/>
    <n v="2713"/>
    <x v="5"/>
    <n v="2024"/>
  </r>
  <r>
    <n v="8284"/>
    <d v="2024-06-28T00:00:00"/>
    <s v="2024-07-05"/>
    <x v="3"/>
    <x v="6"/>
    <x v="6"/>
    <x v="0"/>
    <x v="1"/>
    <s v="Laptop"/>
    <n v="46441"/>
    <x v="6"/>
    <n v="0.02"/>
    <n v="8560"/>
    <x v="1"/>
    <n v="2024"/>
  </r>
  <r>
    <n v="8285"/>
    <d v="2024-04-27T00:00:00"/>
    <s v="2024-04-29"/>
    <x v="1"/>
    <x v="7"/>
    <x v="7"/>
    <x v="0"/>
    <x v="0"/>
    <s v="Pen"/>
    <n v="41558"/>
    <x v="3"/>
    <n v="0.24"/>
    <n v="3154"/>
    <x v="3"/>
    <n v="2024"/>
  </r>
  <r>
    <n v="8286"/>
    <d v="2024-03-16T00:00:00"/>
    <s v="2024-03-18"/>
    <x v="0"/>
    <x v="0"/>
    <x v="0"/>
    <x v="2"/>
    <x v="1"/>
    <s v="Laptop"/>
    <n v="31067"/>
    <x v="10"/>
    <n v="0.11"/>
    <n v="2858"/>
    <x v="0"/>
    <n v="2024"/>
  </r>
  <r>
    <n v="8287"/>
    <d v="2024-05-16T00:00:00"/>
    <s v="2024-05-20"/>
    <x v="3"/>
    <x v="4"/>
    <x v="4"/>
    <x v="2"/>
    <x v="0"/>
    <s v="Pen"/>
    <n v="15350"/>
    <x v="17"/>
    <n v="0.28000000000000003"/>
    <n v="826"/>
    <x v="4"/>
    <n v="2024"/>
  </r>
  <r>
    <n v="8288"/>
    <d v="2024-03-18T00:00:00"/>
    <s v="2024-03-20"/>
    <x v="1"/>
    <x v="1"/>
    <x v="1"/>
    <x v="0"/>
    <x v="1"/>
    <s v="Mobile"/>
    <n v="55613"/>
    <x v="9"/>
    <n v="0.05"/>
    <n v="8037"/>
    <x v="0"/>
    <n v="2024"/>
  </r>
  <r>
    <n v="8289"/>
    <d v="2024-05-28T00:00:00"/>
    <s v="2024-06-02"/>
    <x v="3"/>
    <x v="4"/>
    <x v="4"/>
    <x v="0"/>
    <x v="0"/>
    <s v="Paper"/>
    <n v="20662"/>
    <x v="5"/>
    <n v="0.05"/>
    <n v="1886"/>
    <x v="4"/>
    <n v="2024"/>
  </r>
  <r>
    <n v="8290"/>
    <d v="2024-06-16T00:00:00"/>
    <s v="2024-06-19"/>
    <x v="1"/>
    <x v="1"/>
    <x v="1"/>
    <x v="2"/>
    <x v="1"/>
    <s v="Laptop"/>
    <n v="23008"/>
    <x v="9"/>
    <n v="0.25"/>
    <n v="2223"/>
    <x v="1"/>
    <n v="2024"/>
  </r>
  <r>
    <n v="8291"/>
    <d v="2024-01-19T00:00:00"/>
    <s v="2024-01-22"/>
    <x v="2"/>
    <x v="2"/>
    <x v="2"/>
    <x v="0"/>
    <x v="2"/>
    <s v="Chair"/>
    <n v="73477"/>
    <x v="19"/>
    <n v="0.03"/>
    <n v="14425"/>
    <x v="5"/>
    <n v="2024"/>
  </r>
  <r>
    <n v="8292"/>
    <d v="2024-06-05T00:00:00"/>
    <s v="2024-06-07"/>
    <x v="0"/>
    <x v="0"/>
    <x v="0"/>
    <x v="0"/>
    <x v="1"/>
    <s v="Mobile"/>
    <n v="43762"/>
    <x v="14"/>
    <n v="0.28999999999999998"/>
    <n v="8021"/>
    <x v="1"/>
    <n v="2024"/>
  </r>
  <r>
    <n v="8293"/>
    <d v="2024-05-29T00:00:00"/>
    <s v="2024-05-30"/>
    <x v="1"/>
    <x v="7"/>
    <x v="7"/>
    <x v="0"/>
    <x v="2"/>
    <s v="Table"/>
    <n v="20188"/>
    <x v="10"/>
    <n v="0.19"/>
    <n v="3672"/>
    <x v="4"/>
    <n v="2024"/>
  </r>
  <r>
    <n v="8294"/>
    <d v="2024-04-24T00:00:00"/>
    <s v="2024-04-29"/>
    <x v="3"/>
    <x v="4"/>
    <x v="4"/>
    <x v="1"/>
    <x v="1"/>
    <s v="Headphones"/>
    <n v="64877"/>
    <x v="17"/>
    <n v="0.02"/>
    <n v="10425"/>
    <x v="3"/>
    <n v="2024"/>
  </r>
  <r>
    <n v="8295"/>
    <d v="2024-01-10T00:00:00"/>
    <s v="2024-01-13"/>
    <x v="2"/>
    <x v="2"/>
    <x v="2"/>
    <x v="1"/>
    <x v="0"/>
    <s v="Paper"/>
    <n v="59678"/>
    <x v="8"/>
    <n v="0.23"/>
    <n v="7300"/>
    <x v="5"/>
    <n v="2024"/>
  </r>
  <r>
    <n v="8296"/>
    <d v="2024-01-10T00:00:00"/>
    <s v="2024-01-13"/>
    <x v="0"/>
    <x v="3"/>
    <x v="3"/>
    <x v="2"/>
    <x v="1"/>
    <s v="Laptop"/>
    <n v="77800"/>
    <x v="16"/>
    <n v="0.11"/>
    <n v="12977"/>
    <x v="5"/>
    <n v="2024"/>
  </r>
  <r>
    <n v="8297"/>
    <d v="2024-06-16T00:00:00"/>
    <s v="2024-06-22"/>
    <x v="3"/>
    <x v="4"/>
    <x v="4"/>
    <x v="0"/>
    <x v="0"/>
    <s v="File"/>
    <n v="2675"/>
    <x v="9"/>
    <n v="0.27"/>
    <n v="209"/>
    <x v="1"/>
    <n v="2024"/>
  </r>
  <r>
    <n v="8298"/>
    <d v="2024-06-14T00:00:00"/>
    <s v="2024-06-20"/>
    <x v="2"/>
    <x v="5"/>
    <x v="5"/>
    <x v="0"/>
    <x v="1"/>
    <s v="Laptop"/>
    <n v="62174"/>
    <x v="12"/>
    <n v="0.1"/>
    <n v="11394"/>
    <x v="1"/>
    <n v="2024"/>
  </r>
  <r>
    <n v="8299"/>
    <d v="2024-06-07T00:00:00"/>
    <s v="2024-06-12"/>
    <x v="3"/>
    <x v="6"/>
    <x v="6"/>
    <x v="0"/>
    <x v="0"/>
    <s v="Pen"/>
    <n v="10297"/>
    <x v="17"/>
    <n v="0.13"/>
    <n v="1995"/>
    <x v="1"/>
    <n v="2024"/>
  </r>
  <r>
    <n v="8300"/>
    <d v="2024-04-22T00:00:00"/>
    <s v="2024-04-23"/>
    <x v="0"/>
    <x v="0"/>
    <x v="0"/>
    <x v="2"/>
    <x v="0"/>
    <s v="File"/>
    <n v="47556"/>
    <x v="1"/>
    <n v="0.27"/>
    <n v="2548"/>
    <x v="3"/>
    <n v="202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n v="3200"/>
    <n v="177715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F53B87-8310-446D-8EA0-59D5A59B9A6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10" firstHeaderRow="1" firstDataRow="1" firstDataCol="1"/>
  <pivotFields count="15">
    <pivotField showAll="0"/>
    <pivotField numFmtId="14" showAll="0"/>
    <pivotField showAll="0"/>
    <pivotField showAll="0">
      <items count="5">
        <item x="2"/>
        <item x="3"/>
        <item x="0"/>
        <item x="1"/>
        <item t="default"/>
      </items>
    </pivotField>
    <pivotField showAll="0"/>
    <pivotField showAll="0"/>
    <pivotField showAll="0">
      <items count="4">
        <item x="2"/>
        <item x="1"/>
        <item x="0"/>
        <item t="default"/>
      </items>
    </pivotField>
    <pivotField showAll="0">
      <items count="4">
        <item x="1"/>
        <item x="2"/>
        <item x="0"/>
        <item t="default"/>
      </items>
    </pivotField>
    <pivotField showAll="0"/>
    <pivotField dataField="1" showAll="0"/>
    <pivotField showAll="0"/>
    <pivotField showAll="0"/>
    <pivotField showAll="0"/>
    <pivotField axis="axisRow" showAll="0">
      <items count="7">
        <item x="5"/>
        <item x="2"/>
        <item x="0"/>
        <item x="3"/>
        <item x="4"/>
        <item x="1"/>
        <item t="default"/>
      </items>
    </pivotField>
    <pivotField showAll="0"/>
  </pivotFields>
  <rowFields count="1">
    <field x="13"/>
  </rowFields>
  <rowItems count="7">
    <i>
      <x/>
    </i>
    <i>
      <x v="1"/>
    </i>
    <i>
      <x v="2"/>
    </i>
    <i>
      <x v="3"/>
    </i>
    <i>
      <x v="4"/>
    </i>
    <i>
      <x v="5"/>
    </i>
    <i t="grand">
      <x/>
    </i>
  </rowItems>
  <colItems count="1">
    <i/>
  </colItems>
  <dataFields count="1">
    <dataField name="Sum of Sales" fld="9" baseField="0" baseItem="0"/>
  </dataFields>
  <chartFormats count="2">
    <chartFormat chart="1"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052505-4802-4E17-A2E9-7B52F16C7E5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8" firstHeaderRow="1" firstDataRow="1" firstDataCol="1"/>
  <pivotFields count="15">
    <pivotField showAll="0"/>
    <pivotField numFmtId="14" showAll="0"/>
    <pivotField showAll="0"/>
    <pivotField axis="axisRow" showAll="0">
      <items count="5">
        <item x="2"/>
        <item x="3"/>
        <item x="0"/>
        <item x="1"/>
        <item t="default"/>
      </items>
    </pivotField>
    <pivotField showAll="0"/>
    <pivotField showAll="0"/>
    <pivotField showAll="0">
      <items count="4">
        <item x="2"/>
        <item x="1"/>
        <item x="0"/>
        <item t="default"/>
      </items>
    </pivotField>
    <pivotField showAll="0">
      <items count="4">
        <item x="1"/>
        <item x="2"/>
        <item x="0"/>
        <item t="default"/>
      </items>
    </pivotField>
    <pivotField showAll="0"/>
    <pivotField dataField="1" showAll="0"/>
    <pivotField showAll="0"/>
    <pivotField showAll="0"/>
    <pivotField showAll="0"/>
    <pivotField showAll="0"/>
    <pivotField showAll="0"/>
  </pivotFields>
  <rowFields count="1">
    <field x="3"/>
  </rowFields>
  <rowItems count="5">
    <i>
      <x/>
    </i>
    <i>
      <x v="1"/>
    </i>
    <i>
      <x v="2"/>
    </i>
    <i>
      <x v="3"/>
    </i>
    <i t="grand">
      <x/>
    </i>
  </rowItems>
  <colItems count="1">
    <i/>
  </colItems>
  <dataFields count="1">
    <dataField name="Sum of Sales" fld="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C3A1B3-1130-46C1-BB80-94D14371E9F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7" firstHeaderRow="1" firstDataRow="1" firstDataCol="1"/>
  <pivotFields count="15">
    <pivotField showAll="0"/>
    <pivotField numFmtId="14" showAll="0"/>
    <pivotField showAll="0"/>
    <pivotField showAll="0">
      <items count="5">
        <item x="2"/>
        <item x="3"/>
        <item x="0"/>
        <item x="1"/>
        <item t="default"/>
      </items>
    </pivotField>
    <pivotField showAll="0"/>
    <pivotField showAll="0"/>
    <pivotField showAll="0">
      <items count="4">
        <item x="2"/>
        <item x="1"/>
        <item x="0"/>
        <item t="default"/>
      </items>
    </pivotField>
    <pivotField axis="axisRow" showAll="0">
      <items count="4">
        <item x="1"/>
        <item x="2"/>
        <item x="0"/>
        <item t="default"/>
      </items>
    </pivotField>
    <pivotField showAll="0"/>
    <pivotField showAll="0"/>
    <pivotField showAll="0"/>
    <pivotField showAll="0"/>
    <pivotField dataField="1" showAll="0"/>
    <pivotField showAll="0"/>
    <pivotField showAll="0"/>
  </pivotFields>
  <rowFields count="1">
    <field x="7"/>
  </rowFields>
  <rowItems count="4">
    <i>
      <x/>
    </i>
    <i>
      <x v="1"/>
    </i>
    <i>
      <x v="2"/>
    </i>
    <i t="grand">
      <x/>
    </i>
  </rowItems>
  <colItems count="1">
    <i/>
  </colItems>
  <dataFields count="1">
    <dataField name="Sum of Profit" fld="12" baseField="0" baseItem="0"/>
  </dataFields>
  <chartFormats count="8">
    <chartFormat chart="2"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7" count="1" selected="0">
            <x v="0"/>
          </reference>
        </references>
      </pivotArea>
    </chartFormat>
    <chartFormat chart="4" format="7">
      <pivotArea type="data" outline="0" fieldPosition="0">
        <references count="2">
          <reference field="4294967294" count="1" selected="0">
            <x v="0"/>
          </reference>
          <reference field="7" count="1" selected="0">
            <x v="1"/>
          </reference>
        </references>
      </pivotArea>
    </chartFormat>
    <chartFormat chart="4" format="8">
      <pivotArea type="data" outline="0" fieldPosition="0">
        <references count="2">
          <reference field="4294967294" count="1" selected="0">
            <x v="0"/>
          </reference>
          <reference field="7" count="1" selected="0">
            <x v="2"/>
          </reference>
        </references>
      </pivotArea>
    </chartFormat>
    <chartFormat chart="2" format="1">
      <pivotArea type="data" outline="0" fieldPosition="0">
        <references count="2">
          <reference field="4294967294" count="1" selected="0">
            <x v="0"/>
          </reference>
          <reference field="7" count="1" selected="0">
            <x v="0"/>
          </reference>
        </references>
      </pivotArea>
    </chartFormat>
    <chartFormat chart="2" format="2">
      <pivotArea type="data" outline="0" fieldPosition="0">
        <references count="2">
          <reference field="4294967294" count="1" selected="0">
            <x v="0"/>
          </reference>
          <reference field="7" count="1" selected="0">
            <x v="1"/>
          </reference>
        </references>
      </pivotArea>
    </chartFormat>
    <chartFormat chart="2"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73D076-1AA5-4138-A48A-51F884A706A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7" firstHeaderRow="1" firstDataRow="1" firstDataCol="1"/>
  <pivotFields count="15">
    <pivotField showAll="0"/>
    <pivotField numFmtId="14" showAll="0"/>
    <pivotField showAll="0"/>
    <pivotField showAll="0">
      <items count="5">
        <item x="2"/>
        <item x="3"/>
        <item x="0"/>
        <item x="1"/>
        <item t="default"/>
      </items>
    </pivotField>
    <pivotField showAll="0"/>
    <pivotField showAll="0"/>
    <pivotField axis="axisRow" showAll="0">
      <items count="4">
        <item x="2"/>
        <item x="1"/>
        <item x="0"/>
        <item t="default"/>
      </items>
    </pivotField>
    <pivotField showAll="0">
      <items count="4">
        <item x="1"/>
        <item x="2"/>
        <item x="0"/>
        <item t="default"/>
      </items>
    </pivotField>
    <pivotField showAll="0"/>
    <pivotField dataField="1" showAll="0"/>
    <pivotField showAll="0"/>
    <pivotField showAll="0"/>
    <pivotField showAll="0"/>
    <pivotField showAll="0"/>
    <pivotField showAll="0"/>
  </pivotFields>
  <rowFields count="1">
    <field x="6"/>
  </rowFields>
  <rowItems count="4">
    <i>
      <x/>
    </i>
    <i>
      <x v="1"/>
    </i>
    <i>
      <x v="2"/>
    </i>
    <i t="grand">
      <x/>
    </i>
  </rowItems>
  <colItems count="1">
    <i/>
  </colItems>
  <dataFields count="1">
    <dataField name="Sum of Sales" fld="9" baseField="0" baseItem="0"/>
  </dataFields>
  <chartFormats count="8">
    <chartFormat chart="0" format="0"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6" count="1" selected="0">
            <x v="0"/>
          </reference>
        </references>
      </pivotArea>
    </chartFormat>
    <chartFormat chart="10" format="7">
      <pivotArea type="data" outline="0" fieldPosition="0">
        <references count="2">
          <reference field="4294967294" count="1" selected="0">
            <x v="0"/>
          </reference>
          <reference field="6" count="1" selected="0">
            <x v="1"/>
          </reference>
        </references>
      </pivotArea>
    </chartFormat>
    <chartFormat chart="10" format="8">
      <pivotArea type="data" outline="0" fieldPosition="0">
        <references count="2">
          <reference field="4294967294" count="1" selected="0">
            <x v="0"/>
          </reference>
          <reference field="6" count="1" selected="0">
            <x v="2"/>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390D032-72FC-4859-955E-AE811EA52C9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12" firstHeaderRow="1" firstDataRow="1" firstDataCol="1"/>
  <pivotFields count="15">
    <pivotField showAll="0"/>
    <pivotField numFmtId="14" showAll="0"/>
    <pivotField showAll="0"/>
    <pivotField showAll="0">
      <items count="5">
        <item x="2"/>
        <item x="3"/>
        <item x="0"/>
        <item x="1"/>
        <item t="default"/>
      </items>
    </pivotField>
    <pivotField axis="axisRow" showAll="0">
      <items count="9">
        <item x="4"/>
        <item x="1"/>
        <item x="3"/>
        <item x="7"/>
        <item x="2"/>
        <item x="0"/>
        <item x="6"/>
        <item x="5"/>
        <item t="default"/>
      </items>
    </pivotField>
    <pivotField showAll="0">
      <items count="9">
        <item x="1"/>
        <item x="3"/>
        <item x="2"/>
        <item x="0"/>
        <item x="4"/>
        <item x="5"/>
        <item x="7"/>
        <item x="6"/>
        <item t="default"/>
      </items>
    </pivotField>
    <pivotField showAll="0">
      <items count="4">
        <item x="2"/>
        <item x="1"/>
        <item x="0"/>
        <item t="default"/>
      </items>
    </pivotField>
    <pivotField showAll="0">
      <items count="4">
        <item x="1"/>
        <item x="2"/>
        <item x="0"/>
        <item t="default"/>
      </items>
    </pivotField>
    <pivotField showAll="0"/>
    <pivotField dataField="1" showAll="0"/>
    <pivotField showAll="0"/>
    <pivotField showAll="0"/>
    <pivotField showAll="0"/>
    <pivotField showAll="0"/>
    <pivotField showAll="0"/>
  </pivotFields>
  <rowFields count="1">
    <field x="4"/>
  </rowFields>
  <rowItems count="9">
    <i>
      <x/>
    </i>
    <i>
      <x v="1"/>
    </i>
    <i>
      <x v="2"/>
    </i>
    <i>
      <x v="3"/>
    </i>
    <i>
      <x v="4"/>
    </i>
    <i>
      <x v="5"/>
    </i>
    <i>
      <x v="6"/>
    </i>
    <i>
      <x v="7"/>
    </i>
    <i t="grand">
      <x/>
    </i>
  </rowItems>
  <colItems count="1">
    <i/>
  </colItems>
  <dataFields count="1">
    <dataField name="Sum of Sales" fld="9" baseField="0" baseItem="0"/>
  </dataFields>
  <chartFormats count="2">
    <chartFormat chart="0" format="3"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6DA5130-6C37-4F03-B357-0CCBFD8FE6B8}"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A4" firstHeaderRow="1" firstDataRow="1" firstDataCol="0"/>
  <pivotFields count="2">
    <pivotField dataField="1" showAll="0"/>
    <pivotField showAll="0"/>
  </pivotFields>
  <rowItems count="1">
    <i/>
  </rowItems>
  <colItems count="1">
    <i/>
  </colItems>
  <dataFields count="1">
    <dataField name="Sum of TOTAL QUANTITY" fld="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A0D13969-19A8-4553-9A5E-7521EB198858}" sourceName="Region">
  <pivotTables>
    <pivotTable tabId="12" name="PivotTable8"/>
    <pivotTable tabId="11" name="PivotTable7"/>
    <pivotTable tabId="6" name="PivotTable4"/>
    <pivotTable tabId="9" name="PivotTable5"/>
    <pivotTable tabId="10" name="PivotTable6"/>
  </pivotTables>
  <data>
    <tabular pivotCacheId="758572124">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1" xr10:uid="{FC1A2731-9600-4185-AFF3-A98940786C54}" sourceName="Customer_Segment">
  <pivotTables>
    <pivotTable tabId="12" name="PivotTable8"/>
    <pivotTable tabId="11" name="PivotTable7"/>
    <pivotTable tabId="6" name="PivotTable4"/>
    <pivotTable tabId="9" name="PivotTable5"/>
    <pivotTable tabId="10" name="PivotTable6"/>
  </pivotTables>
  <data>
    <tabular pivotCacheId="75857212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6A59F80E-518B-4EB3-8E85-6CA750F20DD5}" sourceName="Category">
  <pivotTables>
    <pivotTable tabId="12" name="PivotTable8"/>
    <pivotTable tabId="11" name="PivotTable7"/>
    <pivotTable tabId="6" name="PivotTable4"/>
    <pivotTable tabId="9" name="PivotTable5"/>
    <pivotTable tabId="10" name="PivotTable6"/>
  </pivotTables>
  <data>
    <tabular pivotCacheId="758572124">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877D26A-52FE-4CDD-BD0D-35613FD54C61}" sourceName="Region">
  <extLst>
    <x:ext xmlns:x15="http://schemas.microsoft.com/office/spreadsheetml/2010/11/main" uri="{2F2917AC-EB37-4324-AD4E-5DD8C200BD13}">
      <x15:tableSlicerCache tableId="1" column="4"/>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D370AD1B-F5EB-4D9F-B08C-825B44C886C6}" sourceName="Customer_Segment">
  <extLst>
    <x:ext xmlns:x15="http://schemas.microsoft.com/office/spreadsheetml/2010/11/main" uri="{2F2917AC-EB37-4324-AD4E-5DD8C200BD13}">
      <x15:tableSlicerCache tableId="1" column="7"/>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1E4389E-EB4B-4BD8-BDBE-E093FD82500C}" sourceName="Category">
  <extLst>
    <x:ext xmlns:x15="http://schemas.microsoft.com/office/spreadsheetml/2010/11/main" uri="{2F2917AC-EB37-4324-AD4E-5DD8C200BD13}">
      <x15:tableSlicerCache tableId="1" column="8"/>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D303C37F-9DEC-42E1-B292-8C9BB0B94215}" cache="Slicer_Region1" caption="Region" style="SlicerStyleLight6" rowHeight="234950"/>
  <slicer name="Customer_Segment 2" xr10:uid="{5EA9AB01-52F5-4BFA-8463-6A62F013698B}" cache="Slicer_Customer_Segment1" caption="Customer_Segment" style="SlicerStyleLight4" rowHeight="234950"/>
  <slicer name="Category 2" xr10:uid="{5C85F5D8-CBB9-477A-BACD-8684DA348C04}" cache="Slicer_Category1" caption="Category" style="SlicerStyleOther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27A80C3-B798-47E7-8EC3-EA3BC5996478}" cache="Slicer_Region" caption="Region" rowHeight="234950"/>
  <slicer name="Customer_Segment" xr10:uid="{A2C404AB-1D62-4A3E-B453-4063EB1D58B3}" cache="Slicer_Customer_Segment" caption="Customer_Segment" rowHeight="234950"/>
  <slicer name="Category" xr10:uid="{B228E5F8-8060-4B25-BA20-0885E70D9D61}"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5B57B2A-1135-4E2F-B893-E031093BE000}" name="Table1" displayName="Table1" ref="A1:P301" totalsRowShown="0">
  <autoFilter ref="A1:P301" xr:uid="{25B57B2A-1135-4E2F-B893-E031093BE000}">
    <filterColumn colId="3">
      <filters>
        <filter val="West"/>
      </filters>
    </filterColumn>
    <filterColumn colId="6">
      <filters>
        <filter val="Corporate"/>
      </filters>
    </filterColumn>
  </autoFilter>
  <tableColumns count="16">
    <tableColumn id="1" xr3:uid="{927FBDCB-BD20-42FD-BD6E-BD0F4DC79DD1}" name="Order_ID"/>
    <tableColumn id="2" xr3:uid="{28A20FDD-4A89-46EE-9465-50CECE2478FC}" name="Order_Date"/>
    <tableColumn id="3" xr3:uid="{626B06BE-F7A0-4933-B050-ACCFF3DB4DBB}" name="Ship_Date"/>
    <tableColumn id="4" xr3:uid="{0E6843D3-DF07-47D0-B48B-1095783381EE}" name="Region"/>
    <tableColumn id="5" xr3:uid="{380087CF-264C-48BA-B584-D5FA8F4F214B}" name="State"/>
    <tableColumn id="6" xr3:uid="{64C58F27-7AAC-4621-9149-E4A595F305EE}" name="City"/>
    <tableColumn id="7" xr3:uid="{026DB565-1263-4D86-9637-AE69FE4D90B4}" name="Customer_Segment"/>
    <tableColumn id="8" xr3:uid="{9B10CDEB-525D-4EEA-B392-8BFA3F8E7DAD}" name="Category"/>
    <tableColumn id="9" xr3:uid="{DD7DDA3C-627A-4803-A4E6-EFA0ED414634}" name="Sub_Category"/>
    <tableColumn id="10" xr3:uid="{D82B9CF5-66DE-42C1-9077-7878FB3C1765}" name="Sales"/>
    <tableColumn id="11" xr3:uid="{A341D6E3-4AB9-4F61-954E-F54F5A666378}" name="Quantity"/>
    <tableColumn id="12" xr3:uid="{B6ACE186-2009-40FE-B28C-1FACF228ACE0}" name="Discount"/>
    <tableColumn id="13" xr3:uid="{D302EDED-752D-4133-A60B-DA4C4EB8AA68}" name="Profit"/>
    <tableColumn id="14" xr3:uid="{4262B1B0-9CA8-4100-96D4-C6425B635C5F}" name="Month" dataDxfId="2">
      <calculatedColumnFormula>TEXT(Table1[[#This Row],[Order_Date]],"mmm")</calculatedColumnFormula>
    </tableColumn>
    <tableColumn id="15" xr3:uid="{3B67B500-214F-400C-BF3C-E2D12C2D6AD4}" name="Year" dataDxfId="1">
      <calculatedColumnFormula>YEAR(Table1[[#This Row],[Order_Date]])</calculatedColumnFormula>
    </tableColumn>
    <tableColumn id="17" xr3:uid="{DE7A3443-5ED5-4DDE-8B66-F53A149FED09}" name="TOTAL SALES" dataDxfId="0">
      <calculatedColumnFormula>SUM(J:J)</calculatedColumnFormula>
    </tableColumn>
  </tableColumns>
  <tableStyleInfo name="TableStyleMedium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9ACB6-DA72-4AD6-9DB3-761231331E43}">
  <dimension ref="A1:O1"/>
  <sheetViews>
    <sheetView showGridLines="0" tabSelected="1" zoomScale="75" workbookViewId="0">
      <selection activeCell="AD12" sqref="AD12"/>
    </sheetView>
  </sheetViews>
  <sheetFormatPr defaultRowHeight="14.4" x14ac:dyDescent="0.3"/>
  <cols>
    <col min="1" max="16384" width="8.88671875" style="8"/>
  </cols>
  <sheetData>
    <row r="1" spans="1:15" ht="55.2" x14ac:dyDescent="1.3">
      <c r="A1" s="9"/>
      <c r="B1" s="11" t="s">
        <v>202</v>
      </c>
      <c r="C1" s="10"/>
      <c r="D1" s="10"/>
      <c r="E1" s="10"/>
      <c r="F1" s="10"/>
      <c r="G1" s="10"/>
      <c r="H1" s="10"/>
      <c r="I1" s="10"/>
      <c r="J1" s="10"/>
      <c r="K1" s="10"/>
      <c r="L1" s="10"/>
      <c r="M1" s="7"/>
      <c r="N1" s="7"/>
      <c r="O1"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3E489-BD46-4AF4-9618-976A4C0668FE}">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36C55-57B4-4CB6-8BD6-5BB2864A57EA}">
  <dimension ref="A3:B10"/>
  <sheetViews>
    <sheetView workbookViewId="0">
      <selection activeCell="J11" sqref="J11"/>
    </sheetView>
  </sheetViews>
  <sheetFormatPr defaultRowHeight="14.4" x14ac:dyDescent="0.3"/>
  <cols>
    <col min="1" max="1" width="12.5546875" bestFit="1" customWidth="1"/>
    <col min="2" max="2" width="11.6640625" bestFit="1" customWidth="1"/>
  </cols>
  <sheetData>
    <row r="3" spans="1:2" x14ac:dyDescent="0.3">
      <c r="A3" s="4" t="s">
        <v>190</v>
      </c>
      <c r="B3" t="s">
        <v>201</v>
      </c>
    </row>
    <row r="4" spans="1:2" x14ac:dyDescent="0.3">
      <c r="A4" s="5" t="s">
        <v>195</v>
      </c>
      <c r="B4" s="3">
        <v>1790957</v>
      </c>
    </row>
    <row r="5" spans="1:2" x14ac:dyDescent="0.3">
      <c r="A5" s="5" t="s">
        <v>196</v>
      </c>
      <c r="B5" s="3">
        <v>2141927</v>
      </c>
    </row>
    <row r="6" spans="1:2" x14ac:dyDescent="0.3">
      <c r="A6" s="5" t="s">
        <v>197</v>
      </c>
      <c r="B6" s="3">
        <v>1973031</v>
      </c>
    </row>
    <row r="7" spans="1:2" x14ac:dyDescent="0.3">
      <c r="A7" s="5" t="s">
        <v>198</v>
      </c>
      <c r="B7" s="3">
        <v>2489002</v>
      </c>
    </row>
    <row r="8" spans="1:2" x14ac:dyDescent="0.3">
      <c r="A8" s="5" t="s">
        <v>199</v>
      </c>
      <c r="B8" s="3">
        <v>1677871</v>
      </c>
    </row>
    <row r="9" spans="1:2" x14ac:dyDescent="0.3">
      <c r="A9" s="5" t="s">
        <v>200</v>
      </c>
      <c r="B9" s="3">
        <v>2048562</v>
      </c>
    </row>
    <row r="10" spans="1:2" x14ac:dyDescent="0.3">
      <c r="A10" s="5" t="s">
        <v>191</v>
      </c>
      <c r="B10" s="3">
        <v>12121350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9A8F1-0A18-42C8-B316-332203A30D52}">
  <dimension ref="A3:B8"/>
  <sheetViews>
    <sheetView workbookViewId="0">
      <selection activeCell="B5" sqref="A3:B8"/>
    </sheetView>
  </sheetViews>
  <sheetFormatPr defaultRowHeight="14.4" x14ac:dyDescent="0.3"/>
  <cols>
    <col min="1" max="1" width="12.5546875" bestFit="1" customWidth="1"/>
    <col min="2" max="2" width="11.6640625" bestFit="1" customWidth="1"/>
  </cols>
  <sheetData>
    <row r="3" spans="1:2" x14ac:dyDescent="0.3">
      <c r="A3" s="4" t="s">
        <v>190</v>
      </c>
      <c r="B3" t="s">
        <v>201</v>
      </c>
    </row>
    <row r="4" spans="1:2" x14ac:dyDescent="0.3">
      <c r="A4" s="5" t="s">
        <v>33</v>
      </c>
      <c r="B4" s="3">
        <v>2845581</v>
      </c>
    </row>
    <row r="5" spans="1:2" x14ac:dyDescent="0.3">
      <c r="A5" s="5" t="s">
        <v>49</v>
      </c>
      <c r="B5" s="3">
        <v>2933278</v>
      </c>
    </row>
    <row r="6" spans="1:2" x14ac:dyDescent="0.3">
      <c r="A6" s="5" t="s">
        <v>14</v>
      </c>
      <c r="B6" s="3">
        <v>3011150</v>
      </c>
    </row>
    <row r="7" spans="1:2" x14ac:dyDescent="0.3">
      <c r="A7" s="5" t="s">
        <v>26</v>
      </c>
      <c r="B7" s="3">
        <v>3331341</v>
      </c>
    </row>
    <row r="8" spans="1:2" x14ac:dyDescent="0.3">
      <c r="A8" s="5" t="s">
        <v>191</v>
      </c>
      <c r="B8" s="3">
        <v>12121350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01D05-12CE-469C-9ACA-F0B19E3A2398}">
  <dimension ref="A3:B7"/>
  <sheetViews>
    <sheetView workbookViewId="0">
      <selection activeCell="G22" sqref="G22"/>
    </sheetView>
  </sheetViews>
  <sheetFormatPr defaultRowHeight="14.4" x14ac:dyDescent="0.3"/>
  <cols>
    <col min="1" max="1" width="13.109375" bestFit="1" customWidth="1"/>
    <col min="2" max="2" width="12.109375" bestFit="1" customWidth="1"/>
  </cols>
  <sheetData>
    <row r="3" spans="1:2" x14ac:dyDescent="0.3">
      <c r="A3" s="4" t="s">
        <v>190</v>
      </c>
      <c r="B3" t="s">
        <v>192</v>
      </c>
    </row>
    <row r="4" spans="1:2" x14ac:dyDescent="0.3">
      <c r="A4" s="5" t="s">
        <v>22</v>
      </c>
      <c r="B4" s="3">
        <v>624646</v>
      </c>
    </row>
    <row r="5" spans="1:2" x14ac:dyDescent="0.3">
      <c r="A5" s="5" t="s">
        <v>44</v>
      </c>
      <c r="B5" s="3">
        <v>632092</v>
      </c>
    </row>
    <row r="6" spans="1:2" x14ac:dyDescent="0.3">
      <c r="A6" s="5" t="s">
        <v>18</v>
      </c>
      <c r="B6" s="3">
        <v>520416</v>
      </c>
    </row>
    <row r="7" spans="1:2" x14ac:dyDescent="0.3">
      <c r="A7" s="5" t="s">
        <v>191</v>
      </c>
      <c r="B7" s="3">
        <v>1777154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5AC24-7B5A-44B5-BB17-889A2F33AB19}">
  <dimension ref="A1"/>
  <sheetViews>
    <sheetView workbookViewId="0"/>
  </sheetViews>
  <sheetFormatPr defaultRowHeight="14.4" x14ac:dyDescent="0.3"/>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D1334-FEF7-4FDC-ADD4-458E2D31456E}">
  <dimension ref="A3:B7"/>
  <sheetViews>
    <sheetView workbookViewId="0">
      <selection activeCell="B28" sqref="B28"/>
    </sheetView>
  </sheetViews>
  <sheetFormatPr defaultRowHeight="14.4" x14ac:dyDescent="0.3"/>
  <cols>
    <col min="1" max="1" width="12.5546875" bestFit="1" customWidth="1"/>
    <col min="2" max="2" width="11.6640625" bestFit="1" customWidth="1"/>
  </cols>
  <sheetData>
    <row r="3" spans="1:2" x14ac:dyDescent="0.3">
      <c r="A3" s="4" t="s">
        <v>190</v>
      </c>
      <c r="B3" t="s">
        <v>201</v>
      </c>
    </row>
    <row r="4" spans="1:2" x14ac:dyDescent="0.3">
      <c r="A4" s="5" t="s">
        <v>51</v>
      </c>
      <c r="B4" s="3">
        <v>3770367</v>
      </c>
    </row>
    <row r="5" spans="1:2" x14ac:dyDescent="0.3">
      <c r="A5" s="5" t="s">
        <v>30</v>
      </c>
      <c r="B5" s="3">
        <v>4593536</v>
      </c>
    </row>
    <row r="6" spans="1:2" x14ac:dyDescent="0.3">
      <c r="A6" s="5" t="s">
        <v>17</v>
      </c>
      <c r="B6" s="3">
        <v>3757447</v>
      </c>
    </row>
    <row r="7" spans="1:2" x14ac:dyDescent="0.3">
      <c r="A7" s="5" t="s">
        <v>191</v>
      </c>
      <c r="B7" s="3">
        <v>12121350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23DCB-A2AF-4001-8777-51C1C3402FF3}">
  <dimension ref="A3:B12"/>
  <sheetViews>
    <sheetView workbookViewId="0">
      <selection activeCell="G28" sqref="G28"/>
    </sheetView>
  </sheetViews>
  <sheetFormatPr defaultRowHeight="14.4" x14ac:dyDescent="0.3"/>
  <cols>
    <col min="1" max="1" width="12.5546875" bestFit="1" customWidth="1"/>
    <col min="2" max="3" width="11.6640625" bestFit="1" customWidth="1"/>
    <col min="4" max="4" width="14.88671875" bestFit="1" customWidth="1"/>
  </cols>
  <sheetData>
    <row r="3" spans="1:2" x14ac:dyDescent="0.3">
      <c r="A3" s="4" t="s">
        <v>190</v>
      </c>
      <c r="B3" t="s">
        <v>201</v>
      </c>
    </row>
    <row r="4" spans="1:2" x14ac:dyDescent="0.3">
      <c r="A4" s="5" t="s">
        <v>50</v>
      </c>
      <c r="B4" s="3">
        <v>1401368</v>
      </c>
    </row>
    <row r="5" spans="1:2" x14ac:dyDescent="0.3">
      <c r="A5" s="5" t="s">
        <v>27</v>
      </c>
      <c r="B5" s="3">
        <v>1519690</v>
      </c>
    </row>
    <row r="6" spans="1:2" x14ac:dyDescent="0.3">
      <c r="A6" s="5" t="s">
        <v>42</v>
      </c>
      <c r="B6" s="3">
        <v>1694659</v>
      </c>
    </row>
    <row r="7" spans="1:2" x14ac:dyDescent="0.3">
      <c r="A7" s="5" t="s">
        <v>70</v>
      </c>
      <c r="B7" s="3">
        <v>1811651</v>
      </c>
    </row>
    <row r="8" spans="1:2" x14ac:dyDescent="0.3">
      <c r="A8" s="5" t="s">
        <v>34</v>
      </c>
      <c r="B8" s="3">
        <v>1416529</v>
      </c>
    </row>
    <row r="9" spans="1:2" x14ac:dyDescent="0.3">
      <c r="A9" s="5" t="s">
        <v>15</v>
      </c>
      <c r="B9" s="3">
        <v>1316491</v>
      </c>
    </row>
    <row r="10" spans="1:2" x14ac:dyDescent="0.3">
      <c r="A10" s="5" t="s">
        <v>66</v>
      </c>
      <c r="B10" s="3">
        <v>1531910</v>
      </c>
    </row>
    <row r="11" spans="1:2" x14ac:dyDescent="0.3">
      <c r="A11" s="5" t="s">
        <v>56</v>
      </c>
      <c r="B11" s="3">
        <v>1429052</v>
      </c>
    </row>
    <row r="12" spans="1:2" x14ac:dyDescent="0.3">
      <c r="A12" s="5" t="s">
        <v>191</v>
      </c>
      <c r="B12" s="3">
        <v>12121350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2C86B-2BAC-48B8-9276-8C4C8ABD00E1}">
  <dimension ref="A3:A4"/>
  <sheetViews>
    <sheetView workbookViewId="0">
      <selection activeCell="A4" sqref="A4"/>
    </sheetView>
  </sheetViews>
  <sheetFormatPr defaultRowHeight="14.4" x14ac:dyDescent="0.3"/>
  <cols>
    <col min="1" max="1" width="22.44140625" bestFit="1" customWidth="1"/>
  </cols>
  <sheetData>
    <row r="3" spans="1:1" x14ac:dyDescent="0.3">
      <c r="A3" t="s">
        <v>206</v>
      </c>
    </row>
    <row r="4" spans="1:1" x14ac:dyDescent="0.3">
      <c r="A4" s="3">
        <v>3200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01"/>
  <sheetViews>
    <sheetView zoomScale="75" workbookViewId="0">
      <selection activeCell="I29" sqref="A2:P301"/>
    </sheetView>
  </sheetViews>
  <sheetFormatPr defaultRowHeight="14.4" x14ac:dyDescent="0.3"/>
  <cols>
    <col min="1" max="1" width="10.44140625" customWidth="1"/>
    <col min="2" max="2" width="12.5546875" customWidth="1"/>
    <col min="3" max="3" width="11.44140625" customWidth="1"/>
    <col min="7" max="7" width="19.44140625" customWidth="1"/>
    <col min="8" max="8" width="10.44140625" customWidth="1"/>
    <col min="9" max="9" width="14.6640625" customWidth="1"/>
    <col min="11" max="12" width="10.21875" customWidth="1"/>
    <col min="16" max="16" width="15.109375" bestFit="1" customWidth="1"/>
    <col min="17" max="18" width="16" bestFit="1" customWidth="1"/>
  </cols>
  <sheetData>
    <row r="1" spans="1:18" x14ac:dyDescent="0.3">
      <c r="A1" t="s">
        <v>0</v>
      </c>
      <c r="B1" t="s">
        <v>1</v>
      </c>
      <c r="C1" t="s">
        <v>2</v>
      </c>
      <c r="D1" t="s">
        <v>3</v>
      </c>
      <c r="E1" t="s">
        <v>4</v>
      </c>
      <c r="F1" t="s">
        <v>5</v>
      </c>
      <c r="G1" t="s">
        <v>6</v>
      </c>
      <c r="H1" t="s">
        <v>7</v>
      </c>
      <c r="I1" t="s">
        <v>8</v>
      </c>
      <c r="J1" t="s">
        <v>9</v>
      </c>
      <c r="K1" t="s">
        <v>10</v>
      </c>
      <c r="L1" t="s">
        <v>11</v>
      </c>
      <c r="M1" t="s">
        <v>12</v>
      </c>
      <c r="N1" t="s">
        <v>193</v>
      </c>
      <c r="O1" t="s">
        <v>194</v>
      </c>
      <c r="P1" t="s">
        <v>203</v>
      </c>
      <c r="Q1" s="1" t="s">
        <v>204</v>
      </c>
      <c r="R1" t="s">
        <v>205</v>
      </c>
    </row>
    <row r="2" spans="1:18" hidden="1" x14ac:dyDescent="0.3">
      <c r="A2">
        <v>8001</v>
      </c>
      <c r="B2" s="6">
        <v>45366</v>
      </c>
      <c r="C2" t="s">
        <v>13</v>
      </c>
      <c r="D2" t="s">
        <v>14</v>
      </c>
      <c r="E2" t="s">
        <v>15</v>
      </c>
      <c r="F2" t="s">
        <v>16</v>
      </c>
      <c r="G2" t="s">
        <v>17</v>
      </c>
      <c r="H2" t="s">
        <v>18</v>
      </c>
      <c r="I2" t="s">
        <v>19</v>
      </c>
      <c r="J2">
        <v>57960</v>
      </c>
      <c r="K2">
        <v>9</v>
      </c>
      <c r="L2">
        <v>0.3</v>
      </c>
      <c r="M2">
        <v>8569</v>
      </c>
      <c r="N2" t="str">
        <f>TEXT(Table1[[#This Row],[Order_Date]],"mmm")</f>
        <v>Mar</v>
      </c>
      <c r="O2">
        <f>YEAR(Table1[[#This Row],[Order_Date]])</f>
        <v>2024</v>
      </c>
      <c r="P2">
        <f t="shared" ref="P2:P65" si="0">SUM(J:J)</f>
        <v>12121350</v>
      </c>
      <c r="Q2" s="2">
        <f>SUM(K:K)</f>
        <v>3200</v>
      </c>
      <c r="R2">
        <f>SUM(M:M)</f>
        <v>1777154</v>
      </c>
    </row>
    <row r="3" spans="1:18" hidden="1" x14ac:dyDescent="0.3">
      <c r="A3">
        <v>8002</v>
      </c>
      <c r="B3" s="6">
        <v>45471</v>
      </c>
      <c r="C3" t="s">
        <v>21</v>
      </c>
      <c r="D3" t="s">
        <v>14</v>
      </c>
      <c r="E3" t="s">
        <v>15</v>
      </c>
      <c r="F3" t="s">
        <v>16</v>
      </c>
      <c r="G3" t="s">
        <v>17</v>
      </c>
      <c r="H3" t="s">
        <v>22</v>
      </c>
      <c r="I3" t="s">
        <v>23</v>
      </c>
      <c r="J3">
        <v>50678</v>
      </c>
      <c r="K3">
        <v>10</v>
      </c>
      <c r="L3">
        <v>0.17</v>
      </c>
      <c r="M3">
        <v>6629</v>
      </c>
      <c r="N3" t="str">
        <f>TEXT(Table1[[#This Row],[Order_Date]],"mmm")</f>
        <v>Jun</v>
      </c>
      <c r="O3">
        <f>YEAR(Table1[[#This Row],[Order_Date]])</f>
        <v>2024</v>
      </c>
      <c r="P3">
        <f t="shared" si="0"/>
        <v>12121350</v>
      </c>
    </row>
    <row r="4" spans="1:18" hidden="1" x14ac:dyDescent="0.3">
      <c r="A4">
        <v>8003</v>
      </c>
      <c r="B4" s="6">
        <v>45445</v>
      </c>
      <c r="C4" t="s">
        <v>25</v>
      </c>
      <c r="D4" t="s">
        <v>26</v>
      </c>
      <c r="E4" t="s">
        <v>27</v>
      </c>
      <c r="F4" t="s">
        <v>28</v>
      </c>
      <c r="G4" t="s">
        <v>17</v>
      </c>
      <c r="H4" t="s">
        <v>22</v>
      </c>
      <c r="I4" t="s">
        <v>23</v>
      </c>
      <c r="J4">
        <v>61186</v>
      </c>
      <c r="K4">
        <v>19</v>
      </c>
      <c r="L4">
        <v>0.17</v>
      </c>
      <c r="M4">
        <v>3325</v>
      </c>
      <c r="N4" t="str">
        <f>TEXT(Table1[[#This Row],[Order_Date]],"mmm")</f>
        <v>Jun</v>
      </c>
      <c r="O4">
        <f>YEAR(Table1[[#This Row],[Order_Date]])</f>
        <v>2024</v>
      </c>
      <c r="P4">
        <f t="shared" si="0"/>
        <v>12121350</v>
      </c>
    </row>
    <row r="5" spans="1:18" hidden="1" x14ac:dyDescent="0.3">
      <c r="A5">
        <v>8004</v>
      </c>
      <c r="B5" s="6">
        <v>45334</v>
      </c>
      <c r="C5" t="s">
        <v>29</v>
      </c>
      <c r="D5" t="s">
        <v>14</v>
      </c>
      <c r="E5" t="s">
        <v>15</v>
      </c>
      <c r="F5" t="s">
        <v>16</v>
      </c>
      <c r="G5" t="s">
        <v>30</v>
      </c>
      <c r="H5" t="s">
        <v>18</v>
      </c>
      <c r="I5" t="s">
        <v>19</v>
      </c>
      <c r="J5">
        <v>12548</v>
      </c>
      <c r="K5">
        <v>15</v>
      </c>
      <c r="L5">
        <v>0.04</v>
      </c>
      <c r="M5">
        <v>1393</v>
      </c>
      <c r="N5" t="str">
        <f>TEXT(Table1[[#This Row],[Order_Date]],"mmm")</f>
        <v>Feb</v>
      </c>
      <c r="O5">
        <f>YEAR(Table1[[#This Row],[Order_Date]])</f>
        <v>2024</v>
      </c>
      <c r="P5">
        <f t="shared" si="0"/>
        <v>12121350</v>
      </c>
    </row>
    <row r="6" spans="1:18" hidden="1" x14ac:dyDescent="0.3">
      <c r="A6">
        <v>8005</v>
      </c>
      <c r="B6" s="6">
        <v>45398</v>
      </c>
      <c r="C6" t="s">
        <v>32</v>
      </c>
      <c r="D6" t="s">
        <v>33</v>
      </c>
      <c r="E6" t="s">
        <v>34</v>
      </c>
      <c r="F6" t="s">
        <v>35</v>
      </c>
      <c r="G6" t="s">
        <v>17</v>
      </c>
      <c r="H6" t="s">
        <v>22</v>
      </c>
      <c r="I6" t="s">
        <v>36</v>
      </c>
      <c r="J6">
        <v>54488</v>
      </c>
      <c r="K6">
        <v>18</v>
      </c>
      <c r="L6">
        <v>0.1</v>
      </c>
      <c r="M6">
        <v>12735</v>
      </c>
      <c r="N6" t="str">
        <f>TEXT(Table1[[#This Row],[Order_Date]],"mmm")</f>
        <v>Apr</v>
      </c>
      <c r="O6">
        <f>YEAR(Table1[[#This Row],[Order_Date]])</f>
        <v>2024</v>
      </c>
      <c r="P6">
        <f t="shared" si="0"/>
        <v>12121350</v>
      </c>
    </row>
    <row r="7" spans="1:18" hidden="1" x14ac:dyDescent="0.3">
      <c r="A7">
        <v>8006</v>
      </c>
      <c r="B7" s="6">
        <v>45421</v>
      </c>
      <c r="C7" t="s">
        <v>38</v>
      </c>
      <c r="D7" t="s">
        <v>33</v>
      </c>
      <c r="E7" t="s">
        <v>34</v>
      </c>
      <c r="F7" t="s">
        <v>35</v>
      </c>
      <c r="G7" t="s">
        <v>30</v>
      </c>
      <c r="H7" t="s">
        <v>18</v>
      </c>
      <c r="I7" t="s">
        <v>39</v>
      </c>
      <c r="J7">
        <v>16273</v>
      </c>
      <c r="K7">
        <v>8</v>
      </c>
      <c r="L7">
        <v>0.14000000000000001</v>
      </c>
      <c r="M7">
        <v>3414</v>
      </c>
      <c r="N7" t="str">
        <f>TEXT(Table1[[#This Row],[Order_Date]],"mmm")</f>
        <v>May</v>
      </c>
      <c r="O7">
        <f>YEAR(Table1[[#This Row],[Order_Date]])</f>
        <v>2024</v>
      </c>
      <c r="P7">
        <f t="shared" si="0"/>
        <v>12121350</v>
      </c>
    </row>
    <row r="8" spans="1:18" hidden="1" x14ac:dyDescent="0.3">
      <c r="A8">
        <v>8007</v>
      </c>
      <c r="B8" s="6">
        <v>45355</v>
      </c>
      <c r="C8" t="s">
        <v>41</v>
      </c>
      <c r="D8" t="s">
        <v>14</v>
      </c>
      <c r="E8" t="s">
        <v>42</v>
      </c>
      <c r="F8" t="s">
        <v>43</v>
      </c>
      <c r="G8" t="s">
        <v>30</v>
      </c>
      <c r="H8" t="s">
        <v>44</v>
      </c>
      <c r="I8" t="s">
        <v>45</v>
      </c>
      <c r="J8">
        <v>44505</v>
      </c>
      <c r="K8">
        <v>5</v>
      </c>
      <c r="L8">
        <v>0.09</v>
      </c>
      <c r="M8">
        <v>8633</v>
      </c>
      <c r="N8" t="str">
        <f>TEXT(Table1[[#This Row],[Order_Date]],"mmm")</f>
        <v>Mar</v>
      </c>
      <c r="O8">
        <f>YEAR(Table1[[#This Row],[Order_Date]])</f>
        <v>2024</v>
      </c>
      <c r="P8">
        <f t="shared" si="0"/>
        <v>12121350</v>
      </c>
    </row>
    <row r="9" spans="1:18" hidden="1" x14ac:dyDescent="0.3">
      <c r="A9">
        <v>8008</v>
      </c>
      <c r="B9" s="6">
        <v>45371</v>
      </c>
      <c r="C9" t="s">
        <v>46</v>
      </c>
      <c r="D9" t="s">
        <v>14</v>
      </c>
      <c r="E9" t="s">
        <v>42</v>
      </c>
      <c r="F9" t="s">
        <v>43</v>
      </c>
      <c r="G9" t="s">
        <v>17</v>
      </c>
      <c r="H9" t="s">
        <v>44</v>
      </c>
      <c r="I9" t="s">
        <v>47</v>
      </c>
      <c r="J9">
        <v>27403</v>
      </c>
      <c r="K9">
        <v>9</v>
      </c>
      <c r="L9">
        <v>0.2</v>
      </c>
      <c r="M9">
        <v>3404</v>
      </c>
      <c r="N9" t="str">
        <f>TEXT(Table1[[#This Row],[Order_Date]],"mmm")</f>
        <v>Mar</v>
      </c>
      <c r="O9">
        <f>YEAR(Table1[[#This Row],[Order_Date]])</f>
        <v>2024</v>
      </c>
      <c r="P9">
        <f t="shared" si="0"/>
        <v>12121350</v>
      </c>
      <c r="Q9">
        <f>SUM(Table1[[#Headers],[Profit]])</f>
        <v>0</v>
      </c>
    </row>
    <row r="10" spans="1:18" hidden="1" x14ac:dyDescent="0.3">
      <c r="A10">
        <v>8009</v>
      </c>
      <c r="B10" s="6">
        <v>45395</v>
      </c>
      <c r="C10" t="s">
        <v>48</v>
      </c>
      <c r="D10" t="s">
        <v>49</v>
      </c>
      <c r="E10" t="s">
        <v>50</v>
      </c>
      <c r="F10" t="s">
        <v>50</v>
      </c>
      <c r="G10" t="s">
        <v>51</v>
      </c>
      <c r="H10" t="s">
        <v>18</v>
      </c>
      <c r="I10" t="s">
        <v>39</v>
      </c>
      <c r="J10">
        <v>14895</v>
      </c>
      <c r="K10">
        <v>9</v>
      </c>
      <c r="L10">
        <v>0.04</v>
      </c>
      <c r="M10">
        <v>1412</v>
      </c>
      <c r="N10" t="str">
        <f>TEXT(Table1[[#This Row],[Order_Date]],"mmm")</f>
        <v>Apr</v>
      </c>
      <c r="O10">
        <f>YEAR(Table1[[#This Row],[Order_Date]])</f>
        <v>2024</v>
      </c>
      <c r="P10">
        <f t="shared" si="0"/>
        <v>12121350</v>
      </c>
    </row>
    <row r="11" spans="1:18" x14ac:dyDescent="0.3">
      <c r="A11">
        <v>8010</v>
      </c>
      <c r="B11" s="6">
        <v>45442</v>
      </c>
      <c r="C11" t="s">
        <v>53</v>
      </c>
      <c r="D11" t="s">
        <v>26</v>
      </c>
      <c r="E11" t="s">
        <v>27</v>
      </c>
      <c r="F11" t="s">
        <v>28</v>
      </c>
      <c r="G11" t="s">
        <v>30</v>
      </c>
      <c r="H11" t="s">
        <v>44</v>
      </c>
      <c r="I11" t="s">
        <v>47</v>
      </c>
      <c r="J11">
        <v>73357</v>
      </c>
      <c r="K11">
        <v>18</v>
      </c>
      <c r="L11">
        <v>0.3</v>
      </c>
      <c r="M11">
        <v>16332</v>
      </c>
      <c r="N11" t="str">
        <f>TEXT(Table1[[#This Row],[Order_Date]],"mmm")</f>
        <v>May</v>
      </c>
      <c r="O11">
        <f>YEAR(Table1[[#This Row],[Order_Date]])</f>
        <v>2024</v>
      </c>
      <c r="P11">
        <f t="shared" si="0"/>
        <v>12121350</v>
      </c>
    </row>
    <row r="12" spans="1:18" hidden="1" x14ac:dyDescent="0.3">
      <c r="A12">
        <v>8011</v>
      </c>
      <c r="B12" s="6">
        <v>45462</v>
      </c>
      <c r="C12" t="s">
        <v>55</v>
      </c>
      <c r="D12" t="s">
        <v>33</v>
      </c>
      <c r="E12" t="s">
        <v>56</v>
      </c>
      <c r="F12" t="s">
        <v>57</v>
      </c>
      <c r="G12" t="s">
        <v>51</v>
      </c>
      <c r="H12" t="s">
        <v>18</v>
      </c>
      <c r="I12" t="s">
        <v>39</v>
      </c>
      <c r="J12">
        <v>15522</v>
      </c>
      <c r="K12">
        <v>17</v>
      </c>
      <c r="L12">
        <v>0.03</v>
      </c>
      <c r="M12">
        <v>3352</v>
      </c>
      <c r="N12" t="str">
        <f>TEXT(Table1[[#This Row],[Order_Date]],"mmm")</f>
        <v>Jun</v>
      </c>
      <c r="O12">
        <f>YEAR(Table1[[#This Row],[Order_Date]])</f>
        <v>2024</v>
      </c>
      <c r="P12">
        <f t="shared" si="0"/>
        <v>12121350</v>
      </c>
    </row>
    <row r="13" spans="1:18" hidden="1" x14ac:dyDescent="0.3">
      <c r="A13">
        <v>8012</v>
      </c>
      <c r="B13" s="6">
        <v>45369</v>
      </c>
      <c r="C13" t="s">
        <v>59</v>
      </c>
      <c r="D13" t="s">
        <v>14</v>
      </c>
      <c r="E13" t="s">
        <v>15</v>
      </c>
      <c r="F13" t="s">
        <v>16</v>
      </c>
      <c r="G13" t="s">
        <v>51</v>
      </c>
      <c r="H13" t="s">
        <v>18</v>
      </c>
      <c r="I13" t="s">
        <v>19</v>
      </c>
      <c r="J13">
        <v>58295</v>
      </c>
      <c r="K13">
        <v>6</v>
      </c>
      <c r="L13">
        <v>0.04</v>
      </c>
      <c r="M13">
        <v>7736</v>
      </c>
      <c r="N13" t="str">
        <f>TEXT(Table1[[#This Row],[Order_Date]],"mmm")</f>
        <v>Mar</v>
      </c>
      <c r="O13">
        <f>YEAR(Table1[[#This Row],[Order_Date]])</f>
        <v>2024</v>
      </c>
      <c r="P13">
        <f t="shared" si="0"/>
        <v>12121350</v>
      </c>
    </row>
    <row r="14" spans="1:18" hidden="1" x14ac:dyDescent="0.3">
      <c r="A14">
        <v>8013</v>
      </c>
      <c r="B14" s="6">
        <v>45299</v>
      </c>
      <c r="C14" t="s">
        <v>61</v>
      </c>
      <c r="D14" t="s">
        <v>26</v>
      </c>
      <c r="E14" t="s">
        <v>27</v>
      </c>
      <c r="F14" t="s">
        <v>28</v>
      </c>
      <c r="G14" t="s">
        <v>51</v>
      </c>
      <c r="H14" t="s">
        <v>18</v>
      </c>
      <c r="I14" t="s">
        <v>39</v>
      </c>
      <c r="J14">
        <v>51836</v>
      </c>
      <c r="K14">
        <v>20</v>
      </c>
      <c r="L14">
        <v>0.28999999999999998</v>
      </c>
      <c r="M14">
        <v>5456</v>
      </c>
      <c r="N14" t="str">
        <f>TEXT(Table1[[#This Row],[Order_Date]],"mmm")</f>
        <v>Jan</v>
      </c>
      <c r="O14">
        <f>YEAR(Table1[[#This Row],[Order_Date]])</f>
        <v>2024</v>
      </c>
      <c r="P14">
        <f t="shared" si="0"/>
        <v>12121350</v>
      </c>
    </row>
    <row r="15" spans="1:18" hidden="1" x14ac:dyDescent="0.3">
      <c r="A15">
        <v>8014</v>
      </c>
      <c r="B15" s="6">
        <v>45414</v>
      </c>
      <c r="C15" t="s">
        <v>63</v>
      </c>
      <c r="D15" t="s">
        <v>33</v>
      </c>
      <c r="E15" t="s">
        <v>56</v>
      </c>
      <c r="F15" t="s">
        <v>57</v>
      </c>
      <c r="G15" t="s">
        <v>17</v>
      </c>
      <c r="H15" t="s">
        <v>18</v>
      </c>
      <c r="I15" t="s">
        <v>19</v>
      </c>
      <c r="J15">
        <v>20272</v>
      </c>
      <c r="K15">
        <v>2</v>
      </c>
      <c r="L15">
        <v>0.1</v>
      </c>
      <c r="M15">
        <v>3622</v>
      </c>
      <c r="N15" t="str">
        <f>TEXT(Table1[[#This Row],[Order_Date]],"mmm")</f>
        <v>May</v>
      </c>
      <c r="O15">
        <f>YEAR(Table1[[#This Row],[Order_Date]])</f>
        <v>2024</v>
      </c>
      <c r="P15">
        <f t="shared" si="0"/>
        <v>12121350</v>
      </c>
    </row>
    <row r="16" spans="1:18" hidden="1" x14ac:dyDescent="0.3">
      <c r="A16">
        <v>8015</v>
      </c>
      <c r="B16" s="6">
        <v>45417</v>
      </c>
      <c r="C16" t="s">
        <v>64</v>
      </c>
      <c r="D16" t="s">
        <v>14</v>
      </c>
      <c r="E16" t="s">
        <v>15</v>
      </c>
      <c r="F16" t="s">
        <v>16</v>
      </c>
      <c r="G16" t="s">
        <v>51</v>
      </c>
      <c r="H16" t="s">
        <v>22</v>
      </c>
      <c r="I16" t="s">
        <v>36</v>
      </c>
      <c r="J16">
        <v>45519</v>
      </c>
      <c r="K16">
        <v>13</v>
      </c>
      <c r="L16">
        <v>0.04</v>
      </c>
      <c r="M16">
        <v>2681</v>
      </c>
      <c r="N16" t="str">
        <f>TEXT(Table1[[#This Row],[Order_Date]],"mmm")</f>
        <v>May</v>
      </c>
      <c r="O16">
        <f>YEAR(Table1[[#This Row],[Order_Date]])</f>
        <v>2024</v>
      </c>
      <c r="P16">
        <f t="shared" si="0"/>
        <v>12121350</v>
      </c>
    </row>
    <row r="17" spans="1:16" hidden="1" x14ac:dyDescent="0.3">
      <c r="A17">
        <v>8016</v>
      </c>
      <c r="B17" s="6">
        <v>45460</v>
      </c>
      <c r="C17" t="s">
        <v>54</v>
      </c>
      <c r="D17" t="s">
        <v>33</v>
      </c>
      <c r="E17" t="s">
        <v>34</v>
      </c>
      <c r="F17" t="s">
        <v>35</v>
      </c>
      <c r="G17" t="s">
        <v>30</v>
      </c>
      <c r="H17" t="s">
        <v>18</v>
      </c>
      <c r="I17" t="s">
        <v>19</v>
      </c>
      <c r="J17">
        <v>52720</v>
      </c>
      <c r="K17">
        <v>2</v>
      </c>
      <c r="L17">
        <v>0.14000000000000001</v>
      </c>
      <c r="M17">
        <v>12229</v>
      </c>
      <c r="N17" t="str">
        <f>TEXT(Table1[[#This Row],[Order_Date]],"mmm")</f>
        <v>Jun</v>
      </c>
      <c r="O17">
        <f>YEAR(Table1[[#This Row],[Order_Date]])</f>
        <v>2024</v>
      </c>
      <c r="P17">
        <f t="shared" si="0"/>
        <v>12121350</v>
      </c>
    </row>
    <row r="18" spans="1:16" hidden="1" x14ac:dyDescent="0.3">
      <c r="A18">
        <v>8017</v>
      </c>
      <c r="B18" s="6">
        <v>45399</v>
      </c>
      <c r="C18" t="s">
        <v>32</v>
      </c>
      <c r="D18" t="s">
        <v>49</v>
      </c>
      <c r="E18" t="s">
        <v>66</v>
      </c>
      <c r="F18" t="s">
        <v>67</v>
      </c>
      <c r="G18" t="s">
        <v>51</v>
      </c>
      <c r="H18" t="s">
        <v>22</v>
      </c>
      <c r="I18" t="s">
        <v>68</v>
      </c>
      <c r="J18">
        <v>77147</v>
      </c>
      <c r="K18">
        <v>8</v>
      </c>
      <c r="L18">
        <v>0.14000000000000001</v>
      </c>
      <c r="M18">
        <v>14048</v>
      </c>
      <c r="N18" t="str">
        <f>TEXT(Table1[[#This Row],[Order_Date]],"mmm")</f>
        <v>Apr</v>
      </c>
      <c r="O18">
        <f>YEAR(Table1[[#This Row],[Order_Date]])</f>
        <v>2024</v>
      </c>
      <c r="P18">
        <f t="shared" si="0"/>
        <v>12121350</v>
      </c>
    </row>
    <row r="19" spans="1:16" x14ac:dyDescent="0.3">
      <c r="A19">
        <v>8018</v>
      </c>
      <c r="B19" s="6">
        <v>45411</v>
      </c>
      <c r="C19" t="s">
        <v>64</v>
      </c>
      <c r="D19" t="s">
        <v>26</v>
      </c>
      <c r="E19" t="s">
        <v>70</v>
      </c>
      <c r="F19" t="s">
        <v>71</v>
      </c>
      <c r="G19" t="s">
        <v>30</v>
      </c>
      <c r="H19" t="s">
        <v>44</v>
      </c>
      <c r="I19" t="s">
        <v>47</v>
      </c>
      <c r="J19">
        <v>71979</v>
      </c>
      <c r="K19">
        <v>16</v>
      </c>
      <c r="L19">
        <v>0.17</v>
      </c>
      <c r="M19">
        <v>17954</v>
      </c>
      <c r="N19" t="str">
        <f>TEXT(Table1[[#This Row],[Order_Date]],"mmm")</f>
        <v>Apr</v>
      </c>
      <c r="O19">
        <f>YEAR(Table1[[#This Row],[Order_Date]])</f>
        <v>2024</v>
      </c>
      <c r="P19">
        <f t="shared" si="0"/>
        <v>12121350</v>
      </c>
    </row>
    <row r="20" spans="1:16" hidden="1" x14ac:dyDescent="0.3">
      <c r="A20">
        <v>8019</v>
      </c>
      <c r="B20" s="6">
        <v>45378</v>
      </c>
      <c r="C20" t="s">
        <v>72</v>
      </c>
      <c r="D20" t="s">
        <v>14</v>
      </c>
      <c r="E20" t="s">
        <v>15</v>
      </c>
      <c r="F20" t="s">
        <v>16</v>
      </c>
      <c r="G20" t="s">
        <v>17</v>
      </c>
      <c r="H20" t="s">
        <v>18</v>
      </c>
      <c r="I20" t="s">
        <v>19</v>
      </c>
      <c r="J20">
        <v>39863</v>
      </c>
      <c r="K20">
        <v>14</v>
      </c>
      <c r="L20">
        <v>0.02</v>
      </c>
      <c r="M20">
        <v>4180</v>
      </c>
      <c r="N20" t="str">
        <f>TEXT(Table1[[#This Row],[Order_Date]],"mmm")</f>
        <v>Mar</v>
      </c>
      <c r="O20">
        <f>YEAR(Table1[[#This Row],[Order_Date]])</f>
        <v>2024</v>
      </c>
      <c r="P20">
        <f t="shared" si="0"/>
        <v>12121350</v>
      </c>
    </row>
    <row r="21" spans="1:16" hidden="1" x14ac:dyDescent="0.3">
      <c r="A21">
        <v>8020</v>
      </c>
      <c r="B21" s="6">
        <v>45390</v>
      </c>
      <c r="C21" t="s">
        <v>74</v>
      </c>
      <c r="D21" t="s">
        <v>14</v>
      </c>
      <c r="E21" t="s">
        <v>15</v>
      </c>
      <c r="F21" t="s">
        <v>16</v>
      </c>
      <c r="G21" t="s">
        <v>17</v>
      </c>
      <c r="H21" t="s">
        <v>18</v>
      </c>
      <c r="I21" t="s">
        <v>19</v>
      </c>
      <c r="J21">
        <v>35115</v>
      </c>
      <c r="K21">
        <v>15</v>
      </c>
      <c r="L21">
        <v>0.03</v>
      </c>
      <c r="M21">
        <v>7927</v>
      </c>
      <c r="N21" t="str">
        <f>TEXT(Table1[[#This Row],[Order_Date]],"mmm")</f>
        <v>Apr</v>
      </c>
      <c r="O21">
        <f>YEAR(Table1[[#This Row],[Order_Date]])</f>
        <v>2024</v>
      </c>
      <c r="P21">
        <f t="shared" si="0"/>
        <v>12121350</v>
      </c>
    </row>
    <row r="22" spans="1:16" hidden="1" x14ac:dyDescent="0.3">
      <c r="A22">
        <v>8021</v>
      </c>
      <c r="B22" s="6">
        <v>45447</v>
      </c>
      <c r="C22" t="s">
        <v>76</v>
      </c>
      <c r="D22" t="s">
        <v>49</v>
      </c>
      <c r="E22" t="s">
        <v>66</v>
      </c>
      <c r="F22" t="s">
        <v>67</v>
      </c>
      <c r="G22" t="s">
        <v>17</v>
      </c>
      <c r="H22" t="s">
        <v>22</v>
      </c>
      <c r="I22" t="s">
        <v>68</v>
      </c>
      <c r="J22">
        <v>73297</v>
      </c>
      <c r="K22">
        <v>20</v>
      </c>
      <c r="L22">
        <v>0.15</v>
      </c>
      <c r="M22">
        <v>16001</v>
      </c>
      <c r="N22" t="str">
        <f>TEXT(Table1[[#This Row],[Order_Date]],"mmm")</f>
        <v>Jun</v>
      </c>
      <c r="O22">
        <f>YEAR(Table1[[#This Row],[Order_Date]])</f>
        <v>2024</v>
      </c>
      <c r="P22">
        <f t="shared" si="0"/>
        <v>12121350</v>
      </c>
    </row>
    <row r="23" spans="1:16" hidden="1" x14ac:dyDescent="0.3">
      <c r="A23">
        <v>8022</v>
      </c>
      <c r="B23" s="6">
        <v>45294</v>
      </c>
      <c r="C23" t="s">
        <v>61</v>
      </c>
      <c r="D23" t="s">
        <v>33</v>
      </c>
      <c r="E23" t="s">
        <v>56</v>
      </c>
      <c r="F23" t="s">
        <v>57</v>
      </c>
      <c r="G23" t="s">
        <v>17</v>
      </c>
      <c r="H23" t="s">
        <v>18</v>
      </c>
      <c r="I23" t="s">
        <v>19</v>
      </c>
      <c r="J23">
        <v>55233</v>
      </c>
      <c r="K23">
        <v>15</v>
      </c>
      <c r="L23">
        <v>0.21</v>
      </c>
      <c r="M23">
        <v>11818</v>
      </c>
      <c r="N23" t="str">
        <f>TEXT(Table1[[#This Row],[Order_Date]],"mmm")</f>
        <v>Jan</v>
      </c>
      <c r="O23">
        <f>YEAR(Table1[[#This Row],[Order_Date]])</f>
        <v>2024</v>
      </c>
      <c r="P23">
        <f t="shared" si="0"/>
        <v>12121350</v>
      </c>
    </row>
    <row r="24" spans="1:16" hidden="1" x14ac:dyDescent="0.3">
      <c r="A24">
        <v>8023</v>
      </c>
      <c r="B24" s="6">
        <v>45306</v>
      </c>
      <c r="C24" t="s">
        <v>78</v>
      </c>
      <c r="D24" t="s">
        <v>26</v>
      </c>
      <c r="E24" t="s">
        <v>70</v>
      </c>
      <c r="F24" t="s">
        <v>71</v>
      </c>
      <c r="G24" t="s">
        <v>17</v>
      </c>
      <c r="H24" t="s">
        <v>18</v>
      </c>
      <c r="I24" t="s">
        <v>19</v>
      </c>
      <c r="J24">
        <v>49076</v>
      </c>
      <c r="K24">
        <v>15</v>
      </c>
      <c r="L24">
        <v>0.21</v>
      </c>
      <c r="M24">
        <v>3667</v>
      </c>
      <c r="N24" t="str">
        <f>TEXT(Table1[[#This Row],[Order_Date]],"mmm")</f>
        <v>Jan</v>
      </c>
      <c r="O24">
        <f>YEAR(Table1[[#This Row],[Order_Date]])</f>
        <v>2024</v>
      </c>
      <c r="P24">
        <f t="shared" si="0"/>
        <v>12121350</v>
      </c>
    </row>
    <row r="25" spans="1:16" hidden="1" x14ac:dyDescent="0.3">
      <c r="A25">
        <v>8024</v>
      </c>
      <c r="B25" s="6">
        <v>45463</v>
      </c>
      <c r="C25" t="s">
        <v>80</v>
      </c>
      <c r="D25" t="s">
        <v>49</v>
      </c>
      <c r="E25" t="s">
        <v>66</v>
      </c>
      <c r="F25" t="s">
        <v>67</v>
      </c>
      <c r="G25" t="s">
        <v>51</v>
      </c>
      <c r="H25" t="s">
        <v>44</v>
      </c>
      <c r="I25" t="s">
        <v>47</v>
      </c>
      <c r="J25">
        <v>69309</v>
      </c>
      <c r="K25">
        <v>14</v>
      </c>
      <c r="L25">
        <v>0.26</v>
      </c>
      <c r="M25">
        <v>13163</v>
      </c>
      <c r="N25" t="str">
        <f>TEXT(Table1[[#This Row],[Order_Date]],"mmm")</f>
        <v>Jun</v>
      </c>
      <c r="O25">
        <f>YEAR(Table1[[#This Row],[Order_Date]])</f>
        <v>2024</v>
      </c>
      <c r="P25">
        <f t="shared" si="0"/>
        <v>12121350</v>
      </c>
    </row>
    <row r="26" spans="1:16" hidden="1" x14ac:dyDescent="0.3">
      <c r="A26">
        <v>8025</v>
      </c>
      <c r="B26" s="6">
        <v>45468</v>
      </c>
      <c r="C26" t="s">
        <v>20</v>
      </c>
      <c r="D26" t="s">
        <v>26</v>
      </c>
      <c r="E26" t="s">
        <v>27</v>
      </c>
      <c r="F26" t="s">
        <v>28</v>
      </c>
      <c r="G26" t="s">
        <v>17</v>
      </c>
      <c r="H26" t="s">
        <v>22</v>
      </c>
      <c r="I26" t="s">
        <v>36</v>
      </c>
      <c r="J26">
        <v>3543</v>
      </c>
      <c r="K26">
        <v>7</v>
      </c>
      <c r="L26">
        <v>0.28999999999999998</v>
      </c>
      <c r="M26">
        <v>387</v>
      </c>
      <c r="N26" t="str">
        <f>TEXT(Table1[[#This Row],[Order_Date]],"mmm")</f>
        <v>Jun</v>
      </c>
      <c r="O26">
        <f>YEAR(Table1[[#This Row],[Order_Date]])</f>
        <v>2024</v>
      </c>
      <c r="P26">
        <f t="shared" si="0"/>
        <v>12121350</v>
      </c>
    </row>
    <row r="27" spans="1:16" hidden="1" x14ac:dyDescent="0.3">
      <c r="A27">
        <v>8026</v>
      </c>
      <c r="B27" s="6">
        <v>45323</v>
      </c>
      <c r="C27" t="s">
        <v>82</v>
      </c>
      <c r="D27" t="s">
        <v>33</v>
      </c>
      <c r="E27" t="s">
        <v>56</v>
      </c>
      <c r="F27" t="s">
        <v>57</v>
      </c>
      <c r="G27" t="s">
        <v>30</v>
      </c>
      <c r="H27" t="s">
        <v>18</v>
      </c>
      <c r="I27" t="s">
        <v>83</v>
      </c>
      <c r="J27">
        <v>48483</v>
      </c>
      <c r="K27">
        <v>9</v>
      </c>
      <c r="L27">
        <v>0.11</v>
      </c>
      <c r="M27">
        <v>4972</v>
      </c>
      <c r="N27" t="str">
        <f>TEXT(Table1[[#This Row],[Order_Date]],"mmm")</f>
        <v>Feb</v>
      </c>
      <c r="O27">
        <f>YEAR(Table1[[#This Row],[Order_Date]])</f>
        <v>2024</v>
      </c>
      <c r="P27">
        <f t="shared" si="0"/>
        <v>12121350</v>
      </c>
    </row>
    <row r="28" spans="1:16" hidden="1" x14ac:dyDescent="0.3">
      <c r="A28">
        <v>8027</v>
      </c>
      <c r="B28" s="6">
        <v>45316</v>
      </c>
      <c r="C28" t="s">
        <v>85</v>
      </c>
      <c r="D28" t="s">
        <v>33</v>
      </c>
      <c r="E28" t="s">
        <v>34</v>
      </c>
      <c r="F28" t="s">
        <v>35</v>
      </c>
      <c r="G28" t="s">
        <v>51</v>
      </c>
      <c r="H28" t="s">
        <v>18</v>
      </c>
      <c r="I28" t="s">
        <v>39</v>
      </c>
      <c r="J28">
        <v>1804</v>
      </c>
      <c r="K28">
        <v>17</v>
      </c>
      <c r="L28">
        <v>0.22</v>
      </c>
      <c r="M28">
        <v>331</v>
      </c>
      <c r="N28" t="str">
        <f>TEXT(Table1[[#This Row],[Order_Date]],"mmm")</f>
        <v>Jan</v>
      </c>
      <c r="O28">
        <f>YEAR(Table1[[#This Row],[Order_Date]])</f>
        <v>2024</v>
      </c>
      <c r="P28">
        <f t="shared" si="0"/>
        <v>12121350</v>
      </c>
    </row>
    <row r="29" spans="1:16" hidden="1" x14ac:dyDescent="0.3">
      <c r="A29">
        <v>8028</v>
      </c>
      <c r="B29" s="6">
        <v>45430</v>
      </c>
      <c r="C29" t="s">
        <v>86</v>
      </c>
      <c r="D29" t="s">
        <v>26</v>
      </c>
      <c r="E29" t="s">
        <v>27</v>
      </c>
      <c r="F29" t="s">
        <v>28</v>
      </c>
      <c r="G29" t="s">
        <v>17</v>
      </c>
      <c r="H29" t="s">
        <v>44</v>
      </c>
      <c r="I29" t="s">
        <v>87</v>
      </c>
      <c r="J29">
        <v>76661</v>
      </c>
      <c r="K29">
        <v>1</v>
      </c>
      <c r="L29">
        <v>0.19</v>
      </c>
      <c r="M29">
        <v>10836</v>
      </c>
      <c r="N29" t="str">
        <f>TEXT(Table1[[#This Row],[Order_Date]],"mmm")</f>
        <v>May</v>
      </c>
      <c r="O29">
        <f>YEAR(Table1[[#This Row],[Order_Date]])</f>
        <v>2024</v>
      </c>
      <c r="P29">
        <f t="shared" si="0"/>
        <v>12121350</v>
      </c>
    </row>
    <row r="30" spans="1:16" hidden="1" x14ac:dyDescent="0.3">
      <c r="A30">
        <v>8029</v>
      </c>
      <c r="B30" s="6">
        <v>45302</v>
      </c>
      <c r="C30" t="s">
        <v>89</v>
      </c>
      <c r="D30" t="s">
        <v>33</v>
      </c>
      <c r="E30" t="s">
        <v>34</v>
      </c>
      <c r="F30" t="s">
        <v>35</v>
      </c>
      <c r="G30" t="s">
        <v>51</v>
      </c>
      <c r="H30" t="s">
        <v>18</v>
      </c>
      <c r="I30" t="s">
        <v>19</v>
      </c>
      <c r="J30">
        <v>72190</v>
      </c>
      <c r="K30">
        <v>2</v>
      </c>
      <c r="L30">
        <v>0.28999999999999998</v>
      </c>
      <c r="M30">
        <v>7564</v>
      </c>
      <c r="N30" t="str">
        <f>TEXT(Table1[[#This Row],[Order_Date]],"mmm")</f>
        <v>Jan</v>
      </c>
      <c r="O30">
        <f>YEAR(Table1[[#This Row],[Order_Date]])</f>
        <v>2024</v>
      </c>
      <c r="P30">
        <f t="shared" si="0"/>
        <v>12121350</v>
      </c>
    </row>
    <row r="31" spans="1:16" hidden="1" x14ac:dyDescent="0.3">
      <c r="A31">
        <v>8030</v>
      </c>
      <c r="B31" s="6">
        <v>45339</v>
      </c>
      <c r="C31" t="s">
        <v>91</v>
      </c>
      <c r="D31" t="s">
        <v>26</v>
      </c>
      <c r="E31" t="s">
        <v>27</v>
      </c>
      <c r="F31" t="s">
        <v>28</v>
      </c>
      <c r="G31" t="s">
        <v>51</v>
      </c>
      <c r="H31" t="s">
        <v>22</v>
      </c>
      <c r="I31" t="s">
        <v>68</v>
      </c>
      <c r="J31">
        <v>51906</v>
      </c>
      <c r="K31">
        <v>13</v>
      </c>
      <c r="L31">
        <v>0.15</v>
      </c>
      <c r="M31">
        <v>5907</v>
      </c>
      <c r="N31" t="str">
        <f>TEXT(Table1[[#This Row],[Order_Date]],"mmm")</f>
        <v>Feb</v>
      </c>
      <c r="O31">
        <f>YEAR(Table1[[#This Row],[Order_Date]])</f>
        <v>2024</v>
      </c>
      <c r="P31">
        <f t="shared" si="0"/>
        <v>12121350</v>
      </c>
    </row>
    <row r="32" spans="1:16" hidden="1" x14ac:dyDescent="0.3">
      <c r="A32">
        <v>8031</v>
      </c>
      <c r="B32" s="6">
        <v>45343</v>
      </c>
      <c r="C32" t="s">
        <v>93</v>
      </c>
      <c r="D32" t="s">
        <v>14</v>
      </c>
      <c r="E32" t="s">
        <v>42</v>
      </c>
      <c r="F32" t="s">
        <v>43</v>
      </c>
      <c r="G32" t="s">
        <v>30</v>
      </c>
      <c r="H32" t="s">
        <v>44</v>
      </c>
      <c r="I32" t="s">
        <v>47</v>
      </c>
      <c r="J32">
        <v>2430</v>
      </c>
      <c r="K32">
        <v>17</v>
      </c>
      <c r="L32">
        <v>0.06</v>
      </c>
      <c r="M32">
        <v>439</v>
      </c>
      <c r="N32" t="str">
        <f>TEXT(Table1[[#This Row],[Order_Date]],"mmm")</f>
        <v>Feb</v>
      </c>
      <c r="O32">
        <f>YEAR(Table1[[#This Row],[Order_Date]])</f>
        <v>2024</v>
      </c>
      <c r="P32">
        <f t="shared" si="0"/>
        <v>12121350</v>
      </c>
    </row>
    <row r="33" spans="1:16" hidden="1" x14ac:dyDescent="0.3">
      <c r="A33">
        <v>8032</v>
      </c>
      <c r="B33" s="6">
        <v>45320</v>
      </c>
      <c r="C33" t="s">
        <v>82</v>
      </c>
      <c r="D33" t="s">
        <v>14</v>
      </c>
      <c r="E33" t="s">
        <v>42</v>
      </c>
      <c r="F33" t="s">
        <v>43</v>
      </c>
      <c r="G33" t="s">
        <v>17</v>
      </c>
      <c r="H33" t="s">
        <v>18</v>
      </c>
      <c r="I33" t="s">
        <v>83</v>
      </c>
      <c r="J33">
        <v>1177</v>
      </c>
      <c r="K33">
        <v>20</v>
      </c>
      <c r="L33">
        <v>0.21</v>
      </c>
      <c r="M33">
        <v>191</v>
      </c>
      <c r="N33" t="str">
        <f>TEXT(Table1[[#This Row],[Order_Date]],"mmm")</f>
        <v>Jan</v>
      </c>
      <c r="O33">
        <f>YEAR(Table1[[#This Row],[Order_Date]])</f>
        <v>2024</v>
      </c>
      <c r="P33">
        <f t="shared" si="0"/>
        <v>12121350</v>
      </c>
    </row>
    <row r="34" spans="1:16" hidden="1" x14ac:dyDescent="0.3">
      <c r="A34">
        <v>8033</v>
      </c>
      <c r="B34" s="6">
        <v>45376</v>
      </c>
      <c r="C34" t="s">
        <v>95</v>
      </c>
      <c r="D34" t="s">
        <v>14</v>
      </c>
      <c r="E34" t="s">
        <v>15</v>
      </c>
      <c r="F34" t="s">
        <v>16</v>
      </c>
      <c r="G34" t="s">
        <v>30</v>
      </c>
      <c r="H34" t="s">
        <v>44</v>
      </c>
      <c r="I34" t="s">
        <v>87</v>
      </c>
      <c r="J34">
        <v>23803</v>
      </c>
      <c r="K34">
        <v>13</v>
      </c>
      <c r="L34">
        <v>0.24</v>
      </c>
      <c r="M34">
        <v>1720</v>
      </c>
      <c r="N34" t="str">
        <f>TEXT(Table1[[#This Row],[Order_Date]],"mmm")</f>
        <v>Mar</v>
      </c>
      <c r="O34">
        <f>YEAR(Table1[[#This Row],[Order_Date]])</f>
        <v>2024</v>
      </c>
      <c r="P34">
        <f t="shared" si="0"/>
        <v>12121350</v>
      </c>
    </row>
    <row r="35" spans="1:16" hidden="1" x14ac:dyDescent="0.3">
      <c r="A35">
        <v>8034</v>
      </c>
      <c r="B35" s="6">
        <v>45345</v>
      </c>
      <c r="C35" t="s">
        <v>93</v>
      </c>
      <c r="D35" t="s">
        <v>49</v>
      </c>
      <c r="E35" t="s">
        <v>66</v>
      </c>
      <c r="F35" t="s">
        <v>67</v>
      </c>
      <c r="G35" t="s">
        <v>17</v>
      </c>
      <c r="H35" t="s">
        <v>18</v>
      </c>
      <c r="I35" t="s">
        <v>19</v>
      </c>
      <c r="J35">
        <v>79390</v>
      </c>
      <c r="K35">
        <v>19</v>
      </c>
      <c r="L35">
        <v>0.19</v>
      </c>
      <c r="M35">
        <v>9447</v>
      </c>
      <c r="N35" t="str">
        <f>TEXT(Table1[[#This Row],[Order_Date]],"mmm")</f>
        <v>Feb</v>
      </c>
      <c r="O35">
        <f>YEAR(Table1[[#This Row],[Order_Date]])</f>
        <v>2024</v>
      </c>
      <c r="P35">
        <f t="shared" si="0"/>
        <v>12121350</v>
      </c>
    </row>
    <row r="36" spans="1:16" hidden="1" x14ac:dyDescent="0.3">
      <c r="A36">
        <v>8035</v>
      </c>
      <c r="B36" s="6">
        <v>45355</v>
      </c>
      <c r="C36" t="s">
        <v>96</v>
      </c>
      <c r="D36" t="s">
        <v>49</v>
      </c>
      <c r="E36" t="s">
        <v>50</v>
      </c>
      <c r="F36" t="s">
        <v>50</v>
      </c>
      <c r="G36" t="s">
        <v>30</v>
      </c>
      <c r="H36" t="s">
        <v>22</v>
      </c>
      <c r="I36" t="s">
        <v>68</v>
      </c>
      <c r="J36">
        <v>51130</v>
      </c>
      <c r="K36">
        <v>4</v>
      </c>
      <c r="L36">
        <v>0.19</v>
      </c>
      <c r="M36">
        <v>7737</v>
      </c>
      <c r="N36" t="str">
        <f>TEXT(Table1[[#This Row],[Order_Date]],"mmm")</f>
        <v>Mar</v>
      </c>
      <c r="O36">
        <f>YEAR(Table1[[#This Row],[Order_Date]])</f>
        <v>2024</v>
      </c>
      <c r="P36">
        <f t="shared" si="0"/>
        <v>12121350</v>
      </c>
    </row>
    <row r="37" spans="1:16" hidden="1" x14ac:dyDescent="0.3">
      <c r="A37">
        <v>8036</v>
      </c>
      <c r="B37" s="6">
        <v>45452</v>
      </c>
      <c r="C37" t="s">
        <v>98</v>
      </c>
      <c r="D37" t="s">
        <v>14</v>
      </c>
      <c r="E37" t="s">
        <v>15</v>
      </c>
      <c r="F37" t="s">
        <v>16</v>
      </c>
      <c r="G37" t="s">
        <v>30</v>
      </c>
      <c r="H37" t="s">
        <v>44</v>
      </c>
      <c r="I37" t="s">
        <v>87</v>
      </c>
      <c r="J37">
        <v>73852</v>
      </c>
      <c r="K37">
        <v>4</v>
      </c>
      <c r="L37">
        <v>0.11</v>
      </c>
      <c r="M37">
        <v>18225</v>
      </c>
      <c r="N37" t="str">
        <f>TEXT(Table1[[#This Row],[Order_Date]],"mmm")</f>
        <v>Jun</v>
      </c>
      <c r="O37">
        <f>YEAR(Table1[[#This Row],[Order_Date]])</f>
        <v>2024</v>
      </c>
      <c r="P37">
        <f t="shared" si="0"/>
        <v>12121350</v>
      </c>
    </row>
    <row r="38" spans="1:16" hidden="1" x14ac:dyDescent="0.3">
      <c r="A38">
        <v>8037</v>
      </c>
      <c r="B38" s="6">
        <v>45376</v>
      </c>
      <c r="C38" t="s">
        <v>99</v>
      </c>
      <c r="D38" t="s">
        <v>33</v>
      </c>
      <c r="E38" t="s">
        <v>34</v>
      </c>
      <c r="F38" t="s">
        <v>35</v>
      </c>
      <c r="G38" t="s">
        <v>30</v>
      </c>
      <c r="H38" t="s">
        <v>44</v>
      </c>
      <c r="I38" t="s">
        <v>45</v>
      </c>
      <c r="J38">
        <v>79191</v>
      </c>
      <c r="K38">
        <v>16</v>
      </c>
      <c r="L38">
        <v>0.16</v>
      </c>
      <c r="M38">
        <v>7198</v>
      </c>
      <c r="N38" t="str">
        <f>TEXT(Table1[[#This Row],[Order_Date]],"mmm")</f>
        <v>Mar</v>
      </c>
      <c r="O38">
        <f>YEAR(Table1[[#This Row],[Order_Date]])</f>
        <v>2024</v>
      </c>
      <c r="P38">
        <f t="shared" si="0"/>
        <v>12121350</v>
      </c>
    </row>
    <row r="39" spans="1:16" x14ac:dyDescent="0.3">
      <c r="A39">
        <v>8038</v>
      </c>
      <c r="B39" s="6">
        <v>45371</v>
      </c>
      <c r="C39" t="s">
        <v>100</v>
      </c>
      <c r="D39" t="s">
        <v>26</v>
      </c>
      <c r="E39" t="s">
        <v>27</v>
      </c>
      <c r="F39" t="s">
        <v>28</v>
      </c>
      <c r="G39" t="s">
        <v>30</v>
      </c>
      <c r="H39" t="s">
        <v>44</v>
      </c>
      <c r="I39" t="s">
        <v>45</v>
      </c>
      <c r="J39">
        <v>71226</v>
      </c>
      <c r="K39">
        <v>11</v>
      </c>
      <c r="L39">
        <v>0.06</v>
      </c>
      <c r="M39">
        <v>9916</v>
      </c>
      <c r="N39" t="str">
        <f>TEXT(Table1[[#This Row],[Order_Date]],"mmm")</f>
        <v>Mar</v>
      </c>
      <c r="O39">
        <f>YEAR(Table1[[#This Row],[Order_Date]])</f>
        <v>2024</v>
      </c>
      <c r="P39">
        <f t="shared" si="0"/>
        <v>12121350</v>
      </c>
    </row>
    <row r="40" spans="1:16" hidden="1" x14ac:dyDescent="0.3">
      <c r="A40">
        <v>8039</v>
      </c>
      <c r="B40" s="6">
        <v>45392</v>
      </c>
      <c r="C40" t="s">
        <v>65</v>
      </c>
      <c r="D40" t="s">
        <v>33</v>
      </c>
      <c r="E40" t="s">
        <v>34</v>
      </c>
      <c r="F40" t="s">
        <v>35</v>
      </c>
      <c r="G40" t="s">
        <v>30</v>
      </c>
      <c r="H40" t="s">
        <v>18</v>
      </c>
      <c r="I40" t="s">
        <v>83</v>
      </c>
      <c r="J40">
        <v>21586</v>
      </c>
      <c r="K40">
        <v>6</v>
      </c>
      <c r="L40">
        <v>0.22</v>
      </c>
      <c r="M40">
        <v>3107</v>
      </c>
      <c r="N40" t="str">
        <f>TEXT(Table1[[#This Row],[Order_Date]],"mmm")</f>
        <v>Apr</v>
      </c>
      <c r="O40">
        <f>YEAR(Table1[[#This Row],[Order_Date]])</f>
        <v>2024</v>
      </c>
      <c r="P40">
        <f t="shared" si="0"/>
        <v>12121350</v>
      </c>
    </row>
    <row r="41" spans="1:16" hidden="1" x14ac:dyDescent="0.3">
      <c r="A41">
        <v>8040</v>
      </c>
      <c r="B41" s="6">
        <v>45315</v>
      </c>
      <c r="C41" t="s">
        <v>94</v>
      </c>
      <c r="D41" t="s">
        <v>33</v>
      </c>
      <c r="E41" t="s">
        <v>56</v>
      </c>
      <c r="F41" t="s">
        <v>57</v>
      </c>
      <c r="G41" t="s">
        <v>17</v>
      </c>
      <c r="H41" t="s">
        <v>44</v>
      </c>
      <c r="I41" t="s">
        <v>87</v>
      </c>
      <c r="J41">
        <v>28799</v>
      </c>
      <c r="K41">
        <v>7</v>
      </c>
      <c r="L41">
        <v>0.13</v>
      </c>
      <c r="M41">
        <v>4111</v>
      </c>
      <c r="N41" t="str">
        <f>TEXT(Table1[[#This Row],[Order_Date]],"mmm")</f>
        <v>Jan</v>
      </c>
      <c r="O41">
        <f>YEAR(Table1[[#This Row],[Order_Date]])</f>
        <v>2024</v>
      </c>
      <c r="P41">
        <f t="shared" si="0"/>
        <v>12121350</v>
      </c>
    </row>
    <row r="42" spans="1:16" hidden="1" x14ac:dyDescent="0.3">
      <c r="A42">
        <v>8041</v>
      </c>
      <c r="B42" s="6">
        <v>45339</v>
      </c>
      <c r="C42" t="s">
        <v>91</v>
      </c>
      <c r="D42" t="s">
        <v>14</v>
      </c>
      <c r="E42" t="s">
        <v>42</v>
      </c>
      <c r="F42" t="s">
        <v>43</v>
      </c>
      <c r="G42" t="s">
        <v>30</v>
      </c>
      <c r="H42" t="s">
        <v>18</v>
      </c>
      <c r="I42" t="s">
        <v>39</v>
      </c>
      <c r="J42">
        <v>65351</v>
      </c>
      <c r="K42">
        <v>1</v>
      </c>
      <c r="L42">
        <v>0.13</v>
      </c>
      <c r="M42">
        <v>15130</v>
      </c>
      <c r="N42" t="str">
        <f>TEXT(Table1[[#This Row],[Order_Date]],"mmm")</f>
        <v>Feb</v>
      </c>
      <c r="O42">
        <f>YEAR(Table1[[#This Row],[Order_Date]])</f>
        <v>2024</v>
      </c>
      <c r="P42">
        <f t="shared" si="0"/>
        <v>12121350</v>
      </c>
    </row>
    <row r="43" spans="1:16" hidden="1" x14ac:dyDescent="0.3">
      <c r="A43">
        <v>8042</v>
      </c>
      <c r="B43" s="6">
        <v>45396</v>
      </c>
      <c r="C43" t="s">
        <v>31</v>
      </c>
      <c r="D43" t="s">
        <v>33</v>
      </c>
      <c r="E43" t="s">
        <v>34</v>
      </c>
      <c r="F43" t="s">
        <v>35</v>
      </c>
      <c r="G43" t="s">
        <v>30</v>
      </c>
      <c r="H43" t="s">
        <v>18</v>
      </c>
      <c r="I43" t="s">
        <v>19</v>
      </c>
      <c r="J43">
        <v>74869</v>
      </c>
      <c r="K43">
        <v>8</v>
      </c>
      <c r="L43">
        <v>0.24</v>
      </c>
      <c r="M43">
        <v>17282</v>
      </c>
      <c r="N43" t="str">
        <f>TEXT(Table1[[#This Row],[Order_Date]],"mmm")</f>
        <v>Apr</v>
      </c>
      <c r="O43">
        <f>YEAR(Table1[[#This Row],[Order_Date]])</f>
        <v>2024</v>
      </c>
      <c r="P43">
        <f t="shared" si="0"/>
        <v>12121350</v>
      </c>
    </row>
    <row r="44" spans="1:16" hidden="1" x14ac:dyDescent="0.3">
      <c r="A44">
        <v>8043</v>
      </c>
      <c r="B44" s="6">
        <v>45354</v>
      </c>
      <c r="C44" t="s">
        <v>103</v>
      </c>
      <c r="D44" t="s">
        <v>49</v>
      </c>
      <c r="E44" t="s">
        <v>66</v>
      </c>
      <c r="F44" t="s">
        <v>67</v>
      </c>
      <c r="G44" t="s">
        <v>17</v>
      </c>
      <c r="H44" t="s">
        <v>44</v>
      </c>
      <c r="I44" t="s">
        <v>45</v>
      </c>
      <c r="J44">
        <v>63218</v>
      </c>
      <c r="K44">
        <v>20</v>
      </c>
      <c r="L44">
        <v>0.19</v>
      </c>
      <c r="M44">
        <v>4773</v>
      </c>
      <c r="N44" t="str">
        <f>TEXT(Table1[[#This Row],[Order_Date]],"mmm")</f>
        <v>Mar</v>
      </c>
      <c r="O44">
        <f>YEAR(Table1[[#This Row],[Order_Date]])</f>
        <v>2024</v>
      </c>
      <c r="P44">
        <f t="shared" si="0"/>
        <v>12121350</v>
      </c>
    </row>
    <row r="45" spans="1:16" x14ac:dyDescent="0.3">
      <c r="A45">
        <v>8044</v>
      </c>
      <c r="B45" s="6">
        <v>45452</v>
      </c>
      <c r="C45" t="s">
        <v>98</v>
      </c>
      <c r="D45" t="s">
        <v>26</v>
      </c>
      <c r="E45" t="s">
        <v>27</v>
      </c>
      <c r="F45" t="s">
        <v>28</v>
      </c>
      <c r="G45" t="s">
        <v>30</v>
      </c>
      <c r="H45" t="s">
        <v>18</v>
      </c>
      <c r="I45" t="s">
        <v>39</v>
      </c>
      <c r="J45">
        <v>1228</v>
      </c>
      <c r="K45">
        <v>16</v>
      </c>
      <c r="L45">
        <v>0.21</v>
      </c>
      <c r="M45">
        <v>231</v>
      </c>
      <c r="N45" t="str">
        <f>TEXT(Table1[[#This Row],[Order_Date]],"mmm")</f>
        <v>Jun</v>
      </c>
      <c r="O45">
        <f>YEAR(Table1[[#This Row],[Order_Date]])</f>
        <v>2024</v>
      </c>
      <c r="P45">
        <f t="shared" si="0"/>
        <v>12121350</v>
      </c>
    </row>
    <row r="46" spans="1:16" hidden="1" x14ac:dyDescent="0.3">
      <c r="A46">
        <v>8045</v>
      </c>
      <c r="B46" s="6">
        <v>45302</v>
      </c>
      <c r="C46" t="s">
        <v>77</v>
      </c>
      <c r="D46" t="s">
        <v>49</v>
      </c>
      <c r="E46" t="s">
        <v>66</v>
      </c>
      <c r="F46" t="s">
        <v>67</v>
      </c>
      <c r="G46" t="s">
        <v>17</v>
      </c>
      <c r="H46" t="s">
        <v>18</v>
      </c>
      <c r="I46" t="s">
        <v>19</v>
      </c>
      <c r="J46">
        <v>23837</v>
      </c>
      <c r="K46">
        <v>18</v>
      </c>
      <c r="L46">
        <v>0.2</v>
      </c>
      <c r="M46">
        <v>1670</v>
      </c>
      <c r="N46" t="str">
        <f>TEXT(Table1[[#This Row],[Order_Date]],"mmm")</f>
        <v>Jan</v>
      </c>
      <c r="O46">
        <f>YEAR(Table1[[#This Row],[Order_Date]])</f>
        <v>2024</v>
      </c>
      <c r="P46">
        <f t="shared" si="0"/>
        <v>12121350</v>
      </c>
    </row>
    <row r="47" spans="1:16" hidden="1" x14ac:dyDescent="0.3">
      <c r="A47">
        <v>8046</v>
      </c>
      <c r="B47" s="6">
        <v>45381</v>
      </c>
      <c r="C47" t="s">
        <v>105</v>
      </c>
      <c r="D47" t="s">
        <v>26</v>
      </c>
      <c r="E47" t="s">
        <v>27</v>
      </c>
      <c r="F47" t="s">
        <v>28</v>
      </c>
      <c r="G47" t="s">
        <v>17</v>
      </c>
      <c r="H47" t="s">
        <v>18</v>
      </c>
      <c r="I47" t="s">
        <v>39</v>
      </c>
      <c r="J47">
        <v>45951</v>
      </c>
      <c r="K47">
        <v>12</v>
      </c>
      <c r="L47">
        <v>0.11</v>
      </c>
      <c r="M47">
        <v>11070</v>
      </c>
      <c r="N47" t="str">
        <f>TEXT(Table1[[#This Row],[Order_Date]],"mmm")</f>
        <v>Mar</v>
      </c>
      <c r="O47">
        <f>YEAR(Table1[[#This Row],[Order_Date]])</f>
        <v>2024</v>
      </c>
      <c r="P47">
        <f t="shared" si="0"/>
        <v>12121350</v>
      </c>
    </row>
    <row r="48" spans="1:16" hidden="1" x14ac:dyDescent="0.3">
      <c r="A48">
        <v>8047</v>
      </c>
      <c r="B48" s="6">
        <v>45428</v>
      </c>
      <c r="C48" t="s">
        <v>106</v>
      </c>
      <c r="D48" t="s">
        <v>49</v>
      </c>
      <c r="E48" t="s">
        <v>50</v>
      </c>
      <c r="F48" t="s">
        <v>50</v>
      </c>
      <c r="G48" t="s">
        <v>30</v>
      </c>
      <c r="H48" t="s">
        <v>18</v>
      </c>
      <c r="I48" t="s">
        <v>19</v>
      </c>
      <c r="J48">
        <v>39591</v>
      </c>
      <c r="K48">
        <v>17</v>
      </c>
      <c r="L48">
        <v>0.21</v>
      </c>
      <c r="M48">
        <v>5404</v>
      </c>
      <c r="N48" t="str">
        <f>TEXT(Table1[[#This Row],[Order_Date]],"mmm")</f>
        <v>May</v>
      </c>
      <c r="O48">
        <f>YEAR(Table1[[#This Row],[Order_Date]])</f>
        <v>2024</v>
      </c>
      <c r="P48">
        <f t="shared" si="0"/>
        <v>12121350</v>
      </c>
    </row>
    <row r="49" spans="1:16" hidden="1" x14ac:dyDescent="0.3">
      <c r="A49">
        <v>8048</v>
      </c>
      <c r="B49" s="6">
        <v>45335</v>
      </c>
      <c r="C49" t="s">
        <v>107</v>
      </c>
      <c r="D49" t="s">
        <v>49</v>
      </c>
      <c r="E49" t="s">
        <v>50</v>
      </c>
      <c r="F49" t="s">
        <v>50</v>
      </c>
      <c r="G49" t="s">
        <v>30</v>
      </c>
      <c r="H49" t="s">
        <v>44</v>
      </c>
      <c r="I49" t="s">
        <v>87</v>
      </c>
      <c r="J49">
        <v>63635</v>
      </c>
      <c r="K49">
        <v>17</v>
      </c>
      <c r="L49">
        <v>0.22</v>
      </c>
      <c r="M49">
        <v>5686</v>
      </c>
      <c r="N49" t="str">
        <f>TEXT(Table1[[#This Row],[Order_Date]],"mmm")</f>
        <v>Feb</v>
      </c>
      <c r="O49">
        <f>YEAR(Table1[[#This Row],[Order_Date]])</f>
        <v>2024</v>
      </c>
      <c r="P49">
        <f t="shared" si="0"/>
        <v>12121350</v>
      </c>
    </row>
    <row r="50" spans="1:16" hidden="1" x14ac:dyDescent="0.3">
      <c r="A50">
        <v>8049</v>
      </c>
      <c r="B50" s="6">
        <v>45386</v>
      </c>
      <c r="C50" t="s">
        <v>109</v>
      </c>
      <c r="D50" t="s">
        <v>26</v>
      </c>
      <c r="E50" t="s">
        <v>70</v>
      </c>
      <c r="F50" t="s">
        <v>71</v>
      </c>
      <c r="G50" t="s">
        <v>17</v>
      </c>
      <c r="H50" t="s">
        <v>22</v>
      </c>
      <c r="I50" t="s">
        <v>23</v>
      </c>
      <c r="J50">
        <v>59603</v>
      </c>
      <c r="K50">
        <v>16</v>
      </c>
      <c r="L50">
        <v>0.24</v>
      </c>
      <c r="M50">
        <v>8786</v>
      </c>
      <c r="N50" t="str">
        <f>TEXT(Table1[[#This Row],[Order_Date]],"mmm")</f>
        <v>Apr</v>
      </c>
      <c r="O50">
        <f>YEAR(Table1[[#This Row],[Order_Date]])</f>
        <v>2024</v>
      </c>
      <c r="P50">
        <f t="shared" si="0"/>
        <v>12121350</v>
      </c>
    </row>
    <row r="51" spans="1:16" hidden="1" x14ac:dyDescent="0.3">
      <c r="A51">
        <v>8050</v>
      </c>
      <c r="B51" s="6">
        <v>45472</v>
      </c>
      <c r="C51" t="s">
        <v>21</v>
      </c>
      <c r="D51" t="s">
        <v>26</v>
      </c>
      <c r="E51" t="s">
        <v>27</v>
      </c>
      <c r="F51" t="s">
        <v>28</v>
      </c>
      <c r="G51" t="s">
        <v>17</v>
      </c>
      <c r="H51" t="s">
        <v>18</v>
      </c>
      <c r="I51" t="s">
        <v>83</v>
      </c>
      <c r="J51">
        <v>17401</v>
      </c>
      <c r="K51">
        <v>10</v>
      </c>
      <c r="L51">
        <v>0.17</v>
      </c>
      <c r="M51">
        <v>952</v>
      </c>
      <c r="N51" t="str">
        <f>TEXT(Table1[[#This Row],[Order_Date]],"mmm")</f>
        <v>Jun</v>
      </c>
      <c r="O51">
        <f>YEAR(Table1[[#This Row],[Order_Date]])</f>
        <v>2024</v>
      </c>
      <c r="P51">
        <f t="shared" si="0"/>
        <v>12121350</v>
      </c>
    </row>
    <row r="52" spans="1:16" hidden="1" x14ac:dyDescent="0.3">
      <c r="A52">
        <v>8051</v>
      </c>
      <c r="B52" s="6">
        <v>45338</v>
      </c>
      <c r="C52" t="s">
        <v>91</v>
      </c>
      <c r="D52" t="s">
        <v>49</v>
      </c>
      <c r="E52" t="s">
        <v>50</v>
      </c>
      <c r="F52" t="s">
        <v>50</v>
      </c>
      <c r="G52" t="s">
        <v>51</v>
      </c>
      <c r="H52" t="s">
        <v>18</v>
      </c>
      <c r="I52" t="s">
        <v>83</v>
      </c>
      <c r="J52">
        <v>70951</v>
      </c>
      <c r="K52">
        <v>2</v>
      </c>
      <c r="L52">
        <v>0.05</v>
      </c>
      <c r="M52">
        <v>5218</v>
      </c>
      <c r="N52" t="str">
        <f>TEXT(Table1[[#This Row],[Order_Date]],"mmm")</f>
        <v>Feb</v>
      </c>
      <c r="O52">
        <f>YEAR(Table1[[#This Row],[Order_Date]])</f>
        <v>2024</v>
      </c>
      <c r="P52">
        <f t="shared" si="0"/>
        <v>12121350</v>
      </c>
    </row>
    <row r="53" spans="1:16" hidden="1" x14ac:dyDescent="0.3">
      <c r="A53">
        <v>8052</v>
      </c>
      <c r="B53" s="6">
        <v>45399</v>
      </c>
      <c r="C53" t="s">
        <v>110</v>
      </c>
      <c r="D53" t="s">
        <v>26</v>
      </c>
      <c r="E53" t="s">
        <v>70</v>
      </c>
      <c r="F53" t="s">
        <v>71</v>
      </c>
      <c r="G53" t="s">
        <v>51</v>
      </c>
      <c r="H53" t="s">
        <v>44</v>
      </c>
      <c r="I53" t="s">
        <v>47</v>
      </c>
      <c r="J53">
        <v>30827</v>
      </c>
      <c r="K53">
        <v>18</v>
      </c>
      <c r="L53">
        <v>0.01</v>
      </c>
      <c r="M53">
        <v>7238</v>
      </c>
      <c r="N53" t="str">
        <f>TEXT(Table1[[#This Row],[Order_Date]],"mmm")</f>
        <v>Apr</v>
      </c>
      <c r="O53">
        <f>YEAR(Table1[[#This Row],[Order_Date]])</f>
        <v>2024</v>
      </c>
      <c r="P53">
        <f t="shared" si="0"/>
        <v>12121350</v>
      </c>
    </row>
    <row r="54" spans="1:16" hidden="1" x14ac:dyDescent="0.3">
      <c r="A54">
        <v>8053</v>
      </c>
      <c r="B54" s="6">
        <v>45344</v>
      </c>
      <c r="C54" t="s">
        <v>93</v>
      </c>
      <c r="D54" t="s">
        <v>14</v>
      </c>
      <c r="E54" t="s">
        <v>42</v>
      </c>
      <c r="F54" t="s">
        <v>43</v>
      </c>
      <c r="G54" t="s">
        <v>17</v>
      </c>
      <c r="H54" t="s">
        <v>44</v>
      </c>
      <c r="I54" t="s">
        <v>45</v>
      </c>
      <c r="J54">
        <v>70194</v>
      </c>
      <c r="K54">
        <v>20</v>
      </c>
      <c r="L54">
        <v>0.16</v>
      </c>
      <c r="M54">
        <v>7534</v>
      </c>
      <c r="N54" t="str">
        <f>TEXT(Table1[[#This Row],[Order_Date]],"mmm")</f>
        <v>Feb</v>
      </c>
      <c r="O54">
        <f>YEAR(Table1[[#This Row],[Order_Date]])</f>
        <v>2024</v>
      </c>
      <c r="P54">
        <f t="shared" si="0"/>
        <v>12121350</v>
      </c>
    </row>
    <row r="55" spans="1:16" hidden="1" x14ac:dyDescent="0.3">
      <c r="A55">
        <v>8054</v>
      </c>
      <c r="B55" s="6">
        <v>45396</v>
      </c>
      <c r="C55" t="s">
        <v>48</v>
      </c>
      <c r="D55" t="s">
        <v>14</v>
      </c>
      <c r="E55" t="s">
        <v>42</v>
      </c>
      <c r="F55" t="s">
        <v>43</v>
      </c>
      <c r="G55" t="s">
        <v>30</v>
      </c>
      <c r="H55" t="s">
        <v>44</v>
      </c>
      <c r="I55" t="s">
        <v>47</v>
      </c>
      <c r="J55">
        <v>58859</v>
      </c>
      <c r="K55">
        <v>11</v>
      </c>
      <c r="L55">
        <v>0.01</v>
      </c>
      <c r="M55">
        <v>10699</v>
      </c>
      <c r="N55" t="str">
        <f>TEXT(Table1[[#This Row],[Order_Date]],"mmm")</f>
        <v>Apr</v>
      </c>
      <c r="O55">
        <f>YEAR(Table1[[#This Row],[Order_Date]])</f>
        <v>2024</v>
      </c>
      <c r="P55">
        <f t="shared" si="0"/>
        <v>12121350</v>
      </c>
    </row>
    <row r="56" spans="1:16" hidden="1" x14ac:dyDescent="0.3">
      <c r="A56">
        <v>8055</v>
      </c>
      <c r="B56" s="6">
        <v>45460</v>
      </c>
      <c r="C56" t="s">
        <v>55</v>
      </c>
      <c r="D56" t="s">
        <v>33</v>
      </c>
      <c r="E56" t="s">
        <v>34</v>
      </c>
      <c r="F56" t="s">
        <v>35</v>
      </c>
      <c r="G56" t="s">
        <v>51</v>
      </c>
      <c r="H56" t="s">
        <v>44</v>
      </c>
      <c r="I56" t="s">
        <v>45</v>
      </c>
      <c r="J56">
        <v>60612</v>
      </c>
      <c r="K56">
        <v>6</v>
      </c>
      <c r="L56">
        <v>0.12</v>
      </c>
      <c r="M56">
        <v>6283</v>
      </c>
      <c r="N56" t="str">
        <f>TEXT(Table1[[#This Row],[Order_Date]],"mmm")</f>
        <v>Jun</v>
      </c>
      <c r="O56">
        <f>YEAR(Table1[[#This Row],[Order_Date]])</f>
        <v>2024</v>
      </c>
      <c r="P56">
        <f t="shared" si="0"/>
        <v>12121350</v>
      </c>
    </row>
    <row r="57" spans="1:16" hidden="1" x14ac:dyDescent="0.3">
      <c r="A57">
        <v>8056</v>
      </c>
      <c r="B57" s="6">
        <v>45301</v>
      </c>
      <c r="C57" t="s">
        <v>78</v>
      </c>
      <c r="D57" t="s">
        <v>26</v>
      </c>
      <c r="E57" t="s">
        <v>27</v>
      </c>
      <c r="F57" t="s">
        <v>28</v>
      </c>
      <c r="G57" t="s">
        <v>17</v>
      </c>
      <c r="H57" t="s">
        <v>22</v>
      </c>
      <c r="I57" t="s">
        <v>68</v>
      </c>
      <c r="J57">
        <v>3668</v>
      </c>
      <c r="K57">
        <v>12</v>
      </c>
      <c r="L57">
        <v>0.13</v>
      </c>
      <c r="M57">
        <v>874</v>
      </c>
      <c r="N57" t="str">
        <f>TEXT(Table1[[#This Row],[Order_Date]],"mmm")</f>
        <v>Jan</v>
      </c>
      <c r="O57">
        <f>YEAR(Table1[[#This Row],[Order_Date]])</f>
        <v>2024</v>
      </c>
      <c r="P57">
        <f t="shared" si="0"/>
        <v>12121350</v>
      </c>
    </row>
    <row r="58" spans="1:16" hidden="1" x14ac:dyDescent="0.3">
      <c r="A58">
        <v>8057</v>
      </c>
      <c r="B58" s="6">
        <v>45311</v>
      </c>
      <c r="C58" t="s">
        <v>112</v>
      </c>
      <c r="D58" t="s">
        <v>49</v>
      </c>
      <c r="E58" t="s">
        <v>66</v>
      </c>
      <c r="F58" t="s">
        <v>67</v>
      </c>
      <c r="G58" t="s">
        <v>30</v>
      </c>
      <c r="H58" t="s">
        <v>44</v>
      </c>
      <c r="I58" t="s">
        <v>45</v>
      </c>
      <c r="J58">
        <v>42273</v>
      </c>
      <c r="K58">
        <v>4</v>
      </c>
      <c r="L58">
        <v>0.26</v>
      </c>
      <c r="M58">
        <v>9375</v>
      </c>
      <c r="N58" t="str">
        <f>TEXT(Table1[[#This Row],[Order_Date]],"mmm")</f>
        <v>Jan</v>
      </c>
      <c r="O58">
        <f>YEAR(Table1[[#This Row],[Order_Date]])</f>
        <v>2024</v>
      </c>
      <c r="P58">
        <f t="shared" si="0"/>
        <v>12121350</v>
      </c>
    </row>
    <row r="59" spans="1:16" hidden="1" x14ac:dyDescent="0.3">
      <c r="A59">
        <v>8058</v>
      </c>
      <c r="B59" s="6">
        <v>45384</v>
      </c>
      <c r="C59" t="s">
        <v>113</v>
      </c>
      <c r="D59" t="s">
        <v>49</v>
      </c>
      <c r="E59" t="s">
        <v>50</v>
      </c>
      <c r="F59" t="s">
        <v>50</v>
      </c>
      <c r="G59" t="s">
        <v>30</v>
      </c>
      <c r="H59" t="s">
        <v>18</v>
      </c>
      <c r="I59" t="s">
        <v>39</v>
      </c>
      <c r="J59">
        <v>48509</v>
      </c>
      <c r="K59">
        <v>6</v>
      </c>
      <c r="L59">
        <v>7.0000000000000007E-2</v>
      </c>
      <c r="M59">
        <v>10497</v>
      </c>
      <c r="N59" t="str">
        <f>TEXT(Table1[[#This Row],[Order_Date]],"mmm")</f>
        <v>Apr</v>
      </c>
      <c r="O59">
        <f>YEAR(Table1[[#This Row],[Order_Date]])</f>
        <v>2024</v>
      </c>
      <c r="P59">
        <f t="shared" si="0"/>
        <v>12121350</v>
      </c>
    </row>
    <row r="60" spans="1:16" hidden="1" x14ac:dyDescent="0.3">
      <c r="A60">
        <v>8059</v>
      </c>
      <c r="B60" s="6">
        <v>45321</v>
      </c>
      <c r="C60" t="s">
        <v>82</v>
      </c>
      <c r="D60" t="s">
        <v>14</v>
      </c>
      <c r="E60" t="s">
        <v>42</v>
      </c>
      <c r="F60" t="s">
        <v>43</v>
      </c>
      <c r="G60" t="s">
        <v>17</v>
      </c>
      <c r="H60" t="s">
        <v>22</v>
      </c>
      <c r="I60" t="s">
        <v>36</v>
      </c>
      <c r="J60">
        <v>21430</v>
      </c>
      <c r="K60">
        <v>10</v>
      </c>
      <c r="L60">
        <v>0.23</v>
      </c>
      <c r="M60">
        <v>2647</v>
      </c>
      <c r="N60" t="str">
        <f>TEXT(Table1[[#This Row],[Order_Date]],"mmm")</f>
        <v>Jan</v>
      </c>
      <c r="O60">
        <f>YEAR(Table1[[#This Row],[Order_Date]])</f>
        <v>2024</v>
      </c>
      <c r="P60">
        <f t="shared" si="0"/>
        <v>12121350</v>
      </c>
    </row>
    <row r="61" spans="1:16" hidden="1" x14ac:dyDescent="0.3">
      <c r="A61">
        <v>8060</v>
      </c>
      <c r="B61" s="6">
        <v>45460</v>
      </c>
      <c r="C61" t="s">
        <v>114</v>
      </c>
      <c r="D61" t="s">
        <v>14</v>
      </c>
      <c r="E61" t="s">
        <v>42</v>
      </c>
      <c r="F61" t="s">
        <v>43</v>
      </c>
      <c r="G61" t="s">
        <v>30</v>
      </c>
      <c r="H61" t="s">
        <v>44</v>
      </c>
      <c r="I61" t="s">
        <v>45</v>
      </c>
      <c r="J61">
        <v>7315</v>
      </c>
      <c r="K61">
        <v>11</v>
      </c>
      <c r="L61">
        <v>0.02</v>
      </c>
      <c r="M61">
        <v>1700</v>
      </c>
      <c r="N61" t="str">
        <f>TEXT(Table1[[#This Row],[Order_Date]],"mmm")</f>
        <v>Jun</v>
      </c>
      <c r="O61">
        <f>YEAR(Table1[[#This Row],[Order_Date]])</f>
        <v>2024</v>
      </c>
      <c r="P61">
        <f t="shared" si="0"/>
        <v>12121350</v>
      </c>
    </row>
    <row r="62" spans="1:16" hidden="1" x14ac:dyDescent="0.3">
      <c r="A62">
        <v>8061</v>
      </c>
      <c r="B62" s="6">
        <v>45386</v>
      </c>
      <c r="C62" t="s">
        <v>115</v>
      </c>
      <c r="D62" t="s">
        <v>49</v>
      </c>
      <c r="E62" t="s">
        <v>66</v>
      </c>
      <c r="F62" t="s">
        <v>67</v>
      </c>
      <c r="G62" t="s">
        <v>30</v>
      </c>
      <c r="H62" t="s">
        <v>44</v>
      </c>
      <c r="I62" t="s">
        <v>45</v>
      </c>
      <c r="J62">
        <v>53359</v>
      </c>
      <c r="K62">
        <v>1</v>
      </c>
      <c r="L62">
        <v>0.15</v>
      </c>
      <c r="M62">
        <v>5243</v>
      </c>
      <c r="N62" t="str">
        <f>TEXT(Table1[[#This Row],[Order_Date]],"mmm")</f>
        <v>Apr</v>
      </c>
      <c r="O62">
        <f>YEAR(Table1[[#This Row],[Order_Date]])</f>
        <v>2024</v>
      </c>
      <c r="P62">
        <f t="shared" si="0"/>
        <v>12121350</v>
      </c>
    </row>
    <row r="63" spans="1:16" hidden="1" x14ac:dyDescent="0.3">
      <c r="A63">
        <v>8062</v>
      </c>
      <c r="B63" s="6">
        <v>45354</v>
      </c>
      <c r="C63" t="s">
        <v>41</v>
      </c>
      <c r="D63" t="s">
        <v>49</v>
      </c>
      <c r="E63" t="s">
        <v>66</v>
      </c>
      <c r="F63" t="s">
        <v>67</v>
      </c>
      <c r="G63" t="s">
        <v>30</v>
      </c>
      <c r="H63" t="s">
        <v>44</v>
      </c>
      <c r="I63" t="s">
        <v>45</v>
      </c>
      <c r="J63">
        <v>23122</v>
      </c>
      <c r="K63">
        <v>14</v>
      </c>
      <c r="L63">
        <v>0.05</v>
      </c>
      <c r="M63">
        <v>2390</v>
      </c>
      <c r="N63" t="str">
        <f>TEXT(Table1[[#This Row],[Order_Date]],"mmm")</f>
        <v>Mar</v>
      </c>
      <c r="O63">
        <f>YEAR(Table1[[#This Row],[Order_Date]])</f>
        <v>2024</v>
      </c>
      <c r="P63">
        <f t="shared" si="0"/>
        <v>12121350</v>
      </c>
    </row>
    <row r="64" spans="1:16" hidden="1" x14ac:dyDescent="0.3">
      <c r="A64">
        <v>8063</v>
      </c>
      <c r="B64" s="6">
        <v>45444</v>
      </c>
      <c r="C64" t="s">
        <v>25</v>
      </c>
      <c r="D64" t="s">
        <v>26</v>
      </c>
      <c r="E64" t="s">
        <v>70</v>
      </c>
      <c r="F64" t="s">
        <v>71</v>
      </c>
      <c r="G64" t="s">
        <v>51</v>
      </c>
      <c r="H64" t="s">
        <v>22</v>
      </c>
      <c r="I64" t="s">
        <v>36</v>
      </c>
      <c r="J64">
        <v>13599</v>
      </c>
      <c r="K64">
        <v>13</v>
      </c>
      <c r="L64">
        <v>0.13</v>
      </c>
      <c r="M64">
        <v>1817</v>
      </c>
      <c r="N64" t="str">
        <f>TEXT(Table1[[#This Row],[Order_Date]],"mmm")</f>
        <v>Jun</v>
      </c>
      <c r="O64">
        <f>YEAR(Table1[[#This Row],[Order_Date]])</f>
        <v>2024</v>
      </c>
      <c r="P64">
        <f t="shared" si="0"/>
        <v>12121350</v>
      </c>
    </row>
    <row r="65" spans="1:16" hidden="1" x14ac:dyDescent="0.3">
      <c r="A65">
        <v>8064</v>
      </c>
      <c r="B65" s="6">
        <v>45434</v>
      </c>
      <c r="C65" t="s">
        <v>118</v>
      </c>
      <c r="D65" t="s">
        <v>26</v>
      </c>
      <c r="E65" t="s">
        <v>27</v>
      </c>
      <c r="F65" t="s">
        <v>28</v>
      </c>
      <c r="G65" t="s">
        <v>17</v>
      </c>
      <c r="H65" t="s">
        <v>22</v>
      </c>
      <c r="I65" t="s">
        <v>23</v>
      </c>
      <c r="J65">
        <v>17232</v>
      </c>
      <c r="K65">
        <v>1</v>
      </c>
      <c r="L65">
        <v>0.12</v>
      </c>
      <c r="M65">
        <v>1692</v>
      </c>
      <c r="N65" t="str">
        <f>TEXT(Table1[[#This Row],[Order_Date]],"mmm")</f>
        <v>May</v>
      </c>
      <c r="O65">
        <f>YEAR(Table1[[#This Row],[Order_Date]])</f>
        <v>2024</v>
      </c>
      <c r="P65">
        <f t="shared" si="0"/>
        <v>12121350</v>
      </c>
    </row>
    <row r="66" spans="1:16" hidden="1" x14ac:dyDescent="0.3">
      <c r="A66">
        <v>8065</v>
      </c>
      <c r="B66" s="6">
        <v>45390</v>
      </c>
      <c r="C66" t="s">
        <v>115</v>
      </c>
      <c r="D66" t="s">
        <v>26</v>
      </c>
      <c r="E66" t="s">
        <v>70</v>
      </c>
      <c r="F66" t="s">
        <v>71</v>
      </c>
      <c r="G66" t="s">
        <v>51</v>
      </c>
      <c r="H66" t="s">
        <v>44</v>
      </c>
      <c r="I66" t="s">
        <v>87</v>
      </c>
      <c r="J66">
        <v>61552</v>
      </c>
      <c r="K66">
        <v>9</v>
      </c>
      <c r="L66">
        <v>0.16</v>
      </c>
      <c r="M66">
        <v>15191</v>
      </c>
      <c r="N66" t="str">
        <f>TEXT(Table1[[#This Row],[Order_Date]],"mmm")</f>
        <v>Apr</v>
      </c>
      <c r="O66">
        <f>YEAR(Table1[[#This Row],[Order_Date]])</f>
        <v>2024</v>
      </c>
      <c r="P66">
        <f t="shared" ref="P66:P129" si="1">SUM(J:J)</f>
        <v>12121350</v>
      </c>
    </row>
    <row r="67" spans="1:16" hidden="1" x14ac:dyDescent="0.3">
      <c r="A67">
        <v>8066</v>
      </c>
      <c r="B67" s="6">
        <v>45321</v>
      </c>
      <c r="C67" t="s">
        <v>119</v>
      </c>
      <c r="D67" t="s">
        <v>33</v>
      </c>
      <c r="E67" t="s">
        <v>56</v>
      </c>
      <c r="F67" t="s">
        <v>57</v>
      </c>
      <c r="G67" t="s">
        <v>17</v>
      </c>
      <c r="H67" t="s">
        <v>22</v>
      </c>
      <c r="I67" t="s">
        <v>23</v>
      </c>
      <c r="J67">
        <v>59317</v>
      </c>
      <c r="K67">
        <v>7</v>
      </c>
      <c r="L67">
        <v>0.04</v>
      </c>
      <c r="M67">
        <v>3644</v>
      </c>
      <c r="N67" t="str">
        <f>TEXT(Table1[[#This Row],[Order_Date]],"mmm")</f>
        <v>Jan</v>
      </c>
      <c r="O67">
        <f>YEAR(Table1[[#This Row],[Order_Date]])</f>
        <v>2024</v>
      </c>
      <c r="P67">
        <f t="shared" si="1"/>
        <v>12121350</v>
      </c>
    </row>
    <row r="68" spans="1:16" hidden="1" x14ac:dyDescent="0.3">
      <c r="A68">
        <v>8067</v>
      </c>
      <c r="B68" s="6">
        <v>45449</v>
      </c>
      <c r="C68" t="s">
        <v>120</v>
      </c>
      <c r="D68" t="s">
        <v>33</v>
      </c>
      <c r="E68" t="s">
        <v>56</v>
      </c>
      <c r="F68" t="s">
        <v>57</v>
      </c>
      <c r="G68" t="s">
        <v>30</v>
      </c>
      <c r="H68" t="s">
        <v>22</v>
      </c>
      <c r="I68" t="s">
        <v>23</v>
      </c>
      <c r="J68">
        <v>57298</v>
      </c>
      <c r="K68">
        <v>19</v>
      </c>
      <c r="L68">
        <v>0.04</v>
      </c>
      <c r="M68">
        <v>11374</v>
      </c>
      <c r="N68" t="str">
        <f>TEXT(Table1[[#This Row],[Order_Date]],"mmm")</f>
        <v>Jun</v>
      </c>
      <c r="O68">
        <f>YEAR(Table1[[#This Row],[Order_Date]])</f>
        <v>2024</v>
      </c>
      <c r="P68">
        <f t="shared" si="1"/>
        <v>12121350</v>
      </c>
    </row>
    <row r="69" spans="1:16" hidden="1" x14ac:dyDescent="0.3">
      <c r="A69">
        <v>8068</v>
      </c>
      <c r="B69" s="6">
        <v>45388</v>
      </c>
      <c r="C69" t="s">
        <v>115</v>
      </c>
      <c r="D69" t="s">
        <v>26</v>
      </c>
      <c r="E69" t="s">
        <v>70</v>
      </c>
      <c r="F69" t="s">
        <v>71</v>
      </c>
      <c r="G69" t="s">
        <v>51</v>
      </c>
      <c r="H69" t="s">
        <v>22</v>
      </c>
      <c r="I69" t="s">
        <v>68</v>
      </c>
      <c r="J69">
        <v>28389</v>
      </c>
      <c r="K69">
        <v>3</v>
      </c>
      <c r="L69">
        <v>0.01</v>
      </c>
      <c r="M69">
        <v>5622</v>
      </c>
      <c r="N69" t="str">
        <f>TEXT(Table1[[#This Row],[Order_Date]],"mmm")</f>
        <v>Apr</v>
      </c>
      <c r="O69">
        <f>YEAR(Table1[[#This Row],[Order_Date]])</f>
        <v>2024</v>
      </c>
      <c r="P69">
        <f t="shared" si="1"/>
        <v>12121350</v>
      </c>
    </row>
    <row r="70" spans="1:16" hidden="1" x14ac:dyDescent="0.3">
      <c r="A70">
        <v>8069</v>
      </c>
      <c r="B70" s="6">
        <v>45351</v>
      </c>
      <c r="C70" t="s">
        <v>40</v>
      </c>
      <c r="D70" t="s">
        <v>14</v>
      </c>
      <c r="E70" t="s">
        <v>42</v>
      </c>
      <c r="F70" t="s">
        <v>43</v>
      </c>
      <c r="G70" t="s">
        <v>51</v>
      </c>
      <c r="H70" t="s">
        <v>22</v>
      </c>
      <c r="I70" t="s">
        <v>23</v>
      </c>
      <c r="J70">
        <v>64173</v>
      </c>
      <c r="K70">
        <v>17</v>
      </c>
      <c r="L70">
        <v>0.3</v>
      </c>
      <c r="M70">
        <v>9482</v>
      </c>
      <c r="N70" t="str">
        <f>TEXT(Table1[[#This Row],[Order_Date]],"mmm")</f>
        <v>Feb</v>
      </c>
      <c r="O70">
        <f>YEAR(Table1[[#This Row],[Order_Date]])</f>
        <v>2024</v>
      </c>
      <c r="P70">
        <f t="shared" si="1"/>
        <v>12121350</v>
      </c>
    </row>
    <row r="71" spans="1:16" hidden="1" x14ac:dyDescent="0.3">
      <c r="A71">
        <v>8070</v>
      </c>
      <c r="B71" s="6">
        <v>45364</v>
      </c>
      <c r="C71" t="s">
        <v>122</v>
      </c>
      <c r="D71" t="s">
        <v>26</v>
      </c>
      <c r="E71" t="s">
        <v>27</v>
      </c>
      <c r="F71" t="s">
        <v>28</v>
      </c>
      <c r="G71" t="s">
        <v>17</v>
      </c>
      <c r="H71" t="s">
        <v>44</v>
      </c>
      <c r="I71" t="s">
        <v>45</v>
      </c>
      <c r="J71">
        <v>30658</v>
      </c>
      <c r="K71">
        <v>13</v>
      </c>
      <c r="L71">
        <v>0.12</v>
      </c>
      <c r="M71">
        <v>1631</v>
      </c>
      <c r="N71" t="str">
        <f>TEXT(Table1[[#This Row],[Order_Date]],"mmm")</f>
        <v>Mar</v>
      </c>
      <c r="O71">
        <f>YEAR(Table1[[#This Row],[Order_Date]])</f>
        <v>2024</v>
      </c>
      <c r="P71">
        <f t="shared" si="1"/>
        <v>12121350</v>
      </c>
    </row>
    <row r="72" spans="1:16" hidden="1" x14ac:dyDescent="0.3">
      <c r="A72">
        <v>8071</v>
      </c>
      <c r="B72" s="6">
        <v>45366</v>
      </c>
      <c r="C72" t="s">
        <v>58</v>
      </c>
      <c r="D72" t="s">
        <v>49</v>
      </c>
      <c r="E72" t="s">
        <v>50</v>
      </c>
      <c r="F72" t="s">
        <v>50</v>
      </c>
      <c r="G72" t="s">
        <v>30</v>
      </c>
      <c r="H72" t="s">
        <v>44</v>
      </c>
      <c r="I72" t="s">
        <v>87</v>
      </c>
      <c r="J72">
        <v>60983</v>
      </c>
      <c r="K72">
        <v>3</v>
      </c>
      <c r="L72">
        <v>0.15</v>
      </c>
      <c r="M72">
        <v>11336</v>
      </c>
      <c r="N72" t="str">
        <f>TEXT(Table1[[#This Row],[Order_Date]],"mmm")</f>
        <v>Mar</v>
      </c>
      <c r="O72">
        <f>YEAR(Table1[[#This Row],[Order_Date]])</f>
        <v>2024</v>
      </c>
      <c r="P72">
        <f t="shared" si="1"/>
        <v>12121350</v>
      </c>
    </row>
    <row r="73" spans="1:16" hidden="1" x14ac:dyDescent="0.3">
      <c r="A73">
        <v>8072</v>
      </c>
      <c r="B73" s="6">
        <v>45346</v>
      </c>
      <c r="C73" t="s">
        <v>93</v>
      </c>
      <c r="D73" t="s">
        <v>14</v>
      </c>
      <c r="E73" t="s">
        <v>42</v>
      </c>
      <c r="F73" t="s">
        <v>43</v>
      </c>
      <c r="G73" t="s">
        <v>17</v>
      </c>
      <c r="H73" t="s">
        <v>18</v>
      </c>
      <c r="I73" t="s">
        <v>83</v>
      </c>
      <c r="J73">
        <v>6282</v>
      </c>
      <c r="K73">
        <v>1</v>
      </c>
      <c r="L73">
        <v>0.15</v>
      </c>
      <c r="M73">
        <v>1274</v>
      </c>
      <c r="N73" t="str">
        <f>TEXT(Table1[[#This Row],[Order_Date]],"mmm")</f>
        <v>Feb</v>
      </c>
      <c r="O73">
        <f>YEAR(Table1[[#This Row],[Order_Date]])</f>
        <v>2024</v>
      </c>
      <c r="P73">
        <f t="shared" si="1"/>
        <v>12121350</v>
      </c>
    </row>
    <row r="74" spans="1:16" x14ac:dyDescent="0.3">
      <c r="A74">
        <v>8073</v>
      </c>
      <c r="B74" s="6">
        <v>45347</v>
      </c>
      <c r="C74" t="s">
        <v>102</v>
      </c>
      <c r="D74" t="s">
        <v>26</v>
      </c>
      <c r="E74" t="s">
        <v>70</v>
      </c>
      <c r="F74" t="s">
        <v>71</v>
      </c>
      <c r="G74" t="s">
        <v>30</v>
      </c>
      <c r="H74" t="s">
        <v>22</v>
      </c>
      <c r="I74" t="s">
        <v>68</v>
      </c>
      <c r="J74">
        <v>4918</v>
      </c>
      <c r="K74">
        <v>15</v>
      </c>
      <c r="L74">
        <v>7.0000000000000007E-2</v>
      </c>
      <c r="M74">
        <v>1197</v>
      </c>
      <c r="N74" t="str">
        <f>TEXT(Table1[[#This Row],[Order_Date]],"mmm")</f>
        <v>Feb</v>
      </c>
      <c r="O74">
        <f>YEAR(Table1[[#This Row],[Order_Date]])</f>
        <v>2024</v>
      </c>
      <c r="P74">
        <f t="shared" si="1"/>
        <v>12121350</v>
      </c>
    </row>
    <row r="75" spans="1:16" hidden="1" x14ac:dyDescent="0.3">
      <c r="A75">
        <v>8074</v>
      </c>
      <c r="B75" s="6">
        <v>45369</v>
      </c>
      <c r="C75" t="s">
        <v>124</v>
      </c>
      <c r="D75" t="s">
        <v>14</v>
      </c>
      <c r="E75" t="s">
        <v>42</v>
      </c>
      <c r="F75" t="s">
        <v>43</v>
      </c>
      <c r="G75" t="s">
        <v>51</v>
      </c>
      <c r="H75" t="s">
        <v>22</v>
      </c>
      <c r="I75" t="s">
        <v>23</v>
      </c>
      <c r="J75">
        <v>34607</v>
      </c>
      <c r="K75">
        <v>2</v>
      </c>
      <c r="L75">
        <v>0.14000000000000001</v>
      </c>
      <c r="M75">
        <v>5251</v>
      </c>
      <c r="N75" t="str">
        <f>TEXT(Table1[[#This Row],[Order_Date]],"mmm")</f>
        <v>Mar</v>
      </c>
      <c r="O75">
        <f>YEAR(Table1[[#This Row],[Order_Date]])</f>
        <v>2024</v>
      </c>
      <c r="P75">
        <f t="shared" si="1"/>
        <v>12121350</v>
      </c>
    </row>
    <row r="76" spans="1:16" hidden="1" x14ac:dyDescent="0.3">
      <c r="A76">
        <v>8075</v>
      </c>
      <c r="B76" s="6">
        <v>45381</v>
      </c>
      <c r="C76" t="s">
        <v>121</v>
      </c>
      <c r="D76" t="s">
        <v>49</v>
      </c>
      <c r="E76" t="s">
        <v>66</v>
      </c>
      <c r="F76" t="s">
        <v>67</v>
      </c>
      <c r="G76" t="s">
        <v>51</v>
      </c>
      <c r="H76" t="s">
        <v>18</v>
      </c>
      <c r="I76" t="s">
        <v>39</v>
      </c>
      <c r="J76">
        <v>67808</v>
      </c>
      <c r="K76">
        <v>5</v>
      </c>
      <c r="L76">
        <v>0.24</v>
      </c>
      <c r="M76">
        <v>6523</v>
      </c>
      <c r="N76" t="str">
        <f>TEXT(Table1[[#This Row],[Order_Date]],"mmm")</f>
        <v>Mar</v>
      </c>
      <c r="O76">
        <f>YEAR(Table1[[#This Row],[Order_Date]])</f>
        <v>2024</v>
      </c>
      <c r="P76">
        <f t="shared" si="1"/>
        <v>12121350</v>
      </c>
    </row>
    <row r="77" spans="1:16" hidden="1" x14ac:dyDescent="0.3">
      <c r="A77">
        <v>8076</v>
      </c>
      <c r="B77" s="6">
        <v>45401</v>
      </c>
      <c r="C77" t="s">
        <v>125</v>
      </c>
      <c r="D77" t="s">
        <v>49</v>
      </c>
      <c r="E77" t="s">
        <v>50</v>
      </c>
      <c r="F77" t="s">
        <v>50</v>
      </c>
      <c r="G77" t="s">
        <v>17</v>
      </c>
      <c r="H77" t="s">
        <v>44</v>
      </c>
      <c r="I77" t="s">
        <v>47</v>
      </c>
      <c r="J77">
        <v>42937</v>
      </c>
      <c r="K77">
        <v>10</v>
      </c>
      <c r="L77">
        <v>0.02</v>
      </c>
      <c r="M77">
        <v>5849</v>
      </c>
      <c r="N77" t="str">
        <f>TEXT(Table1[[#This Row],[Order_Date]],"mmm")</f>
        <v>Apr</v>
      </c>
      <c r="O77">
        <f>YEAR(Table1[[#This Row],[Order_Date]])</f>
        <v>2024</v>
      </c>
      <c r="P77">
        <f t="shared" si="1"/>
        <v>12121350</v>
      </c>
    </row>
    <row r="78" spans="1:16" hidden="1" x14ac:dyDescent="0.3">
      <c r="A78">
        <v>8077</v>
      </c>
      <c r="B78" s="6">
        <v>45467</v>
      </c>
      <c r="C78" t="s">
        <v>127</v>
      </c>
      <c r="D78" t="s">
        <v>33</v>
      </c>
      <c r="E78" t="s">
        <v>56</v>
      </c>
      <c r="F78" t="s">
        <v>57</v>
      </c>
      <c r="G78" t="s">
        <v>30</v>
      </c>
      <c r="H78" t="s">
        <v>18</v>
      </c>
      <c r="I78" t="s">
        <v>83</v>
      </c>
      <c r="J78">
        <v>35987</v>
      </c>
      <c r="K78">
        <v>17</v>
      </c>
      <c r="L78">
        <v>0.25</v>
      </c>
      <c r="M78">
        <v>7334</v>
      </c>
      <c r="N78" t="str">
        <f>TEXT(Table1[[#This Row],[Order_Date]],"mmm")</f>
        <v>Jun</v>
      </c>
      <c r="O78">
        <f>YEAR(Table1[[#This Row],[Order_Date]])</f>
        <v>2024</v>
      </c>
      <c r="P78">
        <f t="shared" si="1"/>
        <v>12121350</v>
      </c>
    </row>
    <row r="79" spans="1:16" hidden="1" x14ac:dyDescent="0.3">
      <c r="A79">
        <v>8078</v>
      </c>
      <c r="B79" s="6">
        <v>45404</v>
      </c>
      <c r="C79" t="s">
        <v>129</v>
      </c>
      <c r="D79" t="s">
        <v>26</v>
      </c>
      <c r="E79" t="s">
        <v>70</v>
      </c>
      <c r="F79" t="s">
        <v>71</v>
      </c>
      <c r="G79" t="s">
        <v>51</v>
      </c>
      <c r="H79" t="s">
        <v>44</v>
      </c>
      <c r="I79" t="s">
        <v>87</v>
      </c>
      <c r="J79">
        <v>58613</v>
      </c>
      <c r="K79">
        <v>19</v>
      </c>
      <c r="L79">
        <v>0.12</v>
      </c>
      <c r="M79">
        <v>4357</v>
      </c>
      <c r="N79" t="str">
        <f>TEXT(Table1[[#This Row],[Order_Date]],"mmm")</f>
        <v>Apr</v>
      </c>
      <c r="O79">
        <f>YEAR(Table1[[#This Row],[Order_Date]])</f>
        <v>2024</v>
      </c>
      <c r="P79">
        <f t="shared" si="1"/>
        <v>12121350</v>
      </c>
    </row>
    <row r="80" spans="1:16" hidden="1" x14ac:dyDescent="0.3">
      <c r="A80">
        <v>8079</v>
      </c>
      <c r="B80" s="6">
        <v>45443</v>
      </c>
      <c r="C80" t="s">
        <v>130</v>
      </c>
      <c r="D80" t="s">
        <v>33</v>
      </c>
      <c r="E80" t="s">
        <v>34</v>
      </c>
      <c r="F80" t="s">
        <v>35</v>
      </c>
      <c r="G80" t="s">
        <v>51</v>
      </c>
      <c r="H80" t="s">
        <v>18</v>
      </c>
      <c r="I80" t="s">
        <v>83</v>
      </c>
      <c r="J80">
        <v>49859</v>
      </c>
      <c r="K80">
        <v>16</v>
      </c>
      <c r="L80">
        <v>0.14000000000000001</v>
      </c>
      <c r="M80">
        <v>8153</v>
      </c>
      <c r="N80" t="str">
        <f>TEXT(Table1[[#This Row],[Order_Date]],"mmm")</f>
        <v>May</v>
      </c>
      <c r="O80">
        <f>YEAR(Table1[[#This Row],[Order_Date]])</f>
        <v>2024</v>
      </c>
      <c r="P80">
        <f t="shared" si="1"/>
        <v>12121350</v>
      </c>
    </row>
    <row r="81" spans="1:16" hidden="1" x14ac:dyDescent="0.3">
      <c r="A81">
        <v>8080</v>
      </c>
      <c r="B81" s="6">
        <v>45325</v>
      </c>
      <c r="C81" t="s">
        <v>131</v>
      </c>
      <c r="D81" t="s">
        <v>49</v>
      </c>
      <c r="E81" t="s">
        <v>50</v>
      </c>
      <c r="F81" t="s">
        <v>50</v>
      </c>
      <c r="G81" t="s">
        <v>30</v>
      </c>
      <c r="H81" t="s">
        <v>44</v>
      </c>
      <c r="I81" t="s">
        <v>87</v>
      </c>
      <c r="J81">
        <v>60100</v>
      </c>
      <c r="K81">
        <v>13</v>
      </c>
      <c r="L81">
        <v>0.11</v>
      </c>
      <c r="M81">
        <v>3550</v>
      </c>
      <c r="N81" t="str">
        <f>TEXT(Table1[[#This Row],[Order_Date]],"mmm")</f>
        <v>Feb</v>
      </c>
      <c r="O81">
        <f>YEAR(Table1[[#This Row],[Order_Date]])</f>
        <v>2024</v>
      </c>
      <c r="P81">
        <f t="shared" si="1"/>
        <v>12121350</v>
      </c>
    </row>
    <row r="82" spans="1:16" hidden="1" x14ac:dyDescent="0.3">
      <c r="A82">
        <v>8081</v>
      </c>
      <c r="B82" s="6">
        <v>45305</v>
      </c>
      <c r="C82" t="s">
        <v>77</v>
      </c>
      <c r="D82" t="s">
        <v>33</v>
      </c>
      <c r="E82" t="s">
        <v>34</v>
      </c>
      <c r="F82" t="s">
        <v>35</v>
      </c>
      <c r="G82" t="s">
        <v>17</v>
      </c>
      <c r="H82" t="s">
        <v>44</v>
      </c>
      <c r="I82" t="s">
        <v>47</v>
      </c>
      <c r="J82">
        <v>17463</v>
      </c>
      <c r="K82">
        <v>15</v>
      </c>
      <c r="L82">
        <v>0.2</v>
      </c>
      <c r="M82">
        <v>3461</v>
      </c>
      <c r="N82" t="str">
        <f>TEXT(Table1[[#This Row],[Order_Date]],"mmm")</f>
        <v>Jan</v>
      </c>
      <c r="O82">
        <f>YEAR(Table1[[#This Row],[Order_Date]])</f>
        <v>2024</v>
      </c>
      <c r="P82">
        <f t="shared" si="1"/>
        <v>12121350</v>
      </c>
    </row>
    <row r="83" spans="1:16" hidden="1" x14ac:dyDescent="0.3">
      <c r="A83">
        <v>8082</v>
      </c>
      <c r="B83" s="6">
        <v>45462</v>
      </c>
      <c r="C83" t="s">
        <v>55</v>
      </c>
      <c r="D83" t="s">
        <v>33</v>
      </c>
      <c r="E83" t="s">
        <v>34</v>
      </c>
      <c r="F83" t="s">
        <v>35</v>
      </c>
      <c r="G83" t="s">
        <v>30</v>
      </c>
      <c r="H83" t="s">
        <v>44</v>
      </c>
      <c r="I83" t="s">
        <v>45</v>
      </c>
      <c r="J83">
        <v>59076</v>
      </c>
      <c r="K83">
        <v>11</v>
      </c>
      <c r="L83">
        <v>0.14000000000000001</v>
      </c>
      <c r="M83">
        <v>6154</v>
      </c>
      <c r="N83" t="str">
        <f>TEXT(Table1[[#This Row],[Order_Date]],"mmm")</f>
        <v>Jun</v>
      </c>
      <c r="O83">
        <f>YEAR(Table1[[#This Row],[Order_Date]])</f>
        <v>2024</v>
      </c>
      <c r="P83">
        <f t="shared" si="1"/>
        <v>12121350</v>
      </c>
    </row>
    <row r="84" spans="1:16" hidden="1" x14ac:dyDescent="0.3">
      <c r="A84">
        <v>8083</v>
      </c>
      <c r="B84" s="6">
        <v>45449</v>
      </c>
      <c r="C84" t="s">
        <v>98</v>
      </c>
      <c r="D84" t="s">
        <v>49</v>
      </c>
      <c r="E84" t="s">
        <v>66</v>
      </c>
      <c r="F84" t="s">
        <v>67</v>
      </c>
      <c r="G84" t="s">
        <v>30</v>
      </c>
      <c r="H84" t="s">
        <v>22</v>
      </c>
      <c r="I84" t="s">
        <v>68</v>
      </c>
      <c r="J84">
        <v>50154</v>
      </c>
      <c r="K84">
        <v>13</v>
      </c>
      <c r="L84">
        <v>0.16</v>
      </c>
      <c r="M84">
        <v>6748</v>
      </c>
      <c r="N84" t="str">
        <f>TEXT(Table1[[#This Row],[Order_Date]],"mmm")</f>
        <v>Jun</v>
      </c>
      <c r="O84">
        <f>YEAR(Table1[[#This Row],[Order_Date]])</f>
        <v>2024</v>
      </c>
      <c r="P84">
        <f t="shared" si="1"/>
        <v>12121350</v>
      </c>
    </row>
    <row r="85" spans="1:16" hidden="1" x14ac:dyDescent="0.3">
      <c r="A85">
        <v>8084</v>
      </c>
      <c r="B85" s="6">
        <v>45296</v>
      </c>
      <c r="C85" t="s">
        <v>132</v>
      </c>
      <c r="D85" t="s">
        <v>49</v>
      </c>
      <c r="E85" t="s">
        <v>50</v>
      </c>
      <c r="F85" t="s">
        <v>50</v>
      </c>
      <c r="G85" t="s">
        <v>51</v>
      </c>
      <c r="H85" t="s">
        <v>18</v>
      </c>
      <c r="I85" t="s">
        <v>39</v>
      </c>
      <c r="J85">
        <v>1742</v>
      </c>
      <c r="K85">
        <v>13</v>
      </c>
      <c r="L85">
        <v>0.3</v>
      </c>
      <c r="M85">
        <v>134</v>
      </c>
      <c r="N85" t="str">
        <f>TEXT(Table1[[#This Row],[Order_Date]],"mmm")</f>
        <v>Jan</v>
      </c>
      <c r="O85">
        <f>YEAR(Table1[[#This Row],[Order_Date]])</f>
        <v>2024</v>
      </c>
      <c r="P85">
        <f t="shared" si="1"/>
        <v>12121350</v>
      </c>
    </row>
    <row r="86" spans="1:16" hidden="1" x14ac:dyDescent="0.3">
      <c r="A86">
        <v>8085</v>
      </c>
      <c r="B86" s="6">
        <v>45302</v>
      </c>
      <c r="C86" t="s">
        <v>77</v>
      </c>
      <c r="D86" t="s">
        <v>33</v>
      </c>
      <c r="E86" t="s">
        <v>56</v>
      </c>
      <c r="F86" t="s">
        <v>57</v>
      </c>
      <c r="G86" t="s">
        <v>30</v>
      </c>
      <c r="H86" t="s">
        <v>44</v>
      </c>
      <c r="I86" t="s">
        <v>47</v>
      </c>
      <c r="J86">
        <v>65718</v>
      </c>
      <c r="K86">
        <v>20</v>
      </c>
      <c r="L86">
        <v>0.19</v>
      </c>
      <c r="M86">
        <v>15594</v>
      </c>
      <c r="N86" t="str">
        <f>TEXT(Table1[[#This Row],[Order_Date]],"mmm")</f>
        <v>Jan</v>
      </c>
      <c r="O86">
        <f>YEAR(Table1[[#This Row],[Order_Date]])</f>
        <v>2024</v>
      </c>
      <c r="P86">
        <f t="shared" si="1"/>
        <v>12121350</v>
      </c>
    </row>
    <row r="87" spans="1:16" hidden="1" x14ac:dyDescent="0.3">
      <c r="A87">
        <v>8086</v>
      </c>
      <c r="B87" s="6">
        <v>45326</v>
      </c>
      <c r="C87" t="s">
        <v>133</v>
      </c>
      <c r="D87" t="s">
        <v>49</v>
      </c>
      <c r="E87" t="s">
        <v>50</v>
      </c>
      <c r="F87" t="s">
        <v>50</v>
      </c>
      <c r="G87" t="s">
        <v>30</v>
      </c>
      <c r="H87" t="s">
        <v>44</v>
      </c>
      <c r="I87" t="s">
        <v>87</v>
      </c>
      <c r="J87">
        <v>57930</v>
      </c>
      <c r="K87">
        <v>17</v>
      </c>
      <c r="L87">
        <v>0.15</v>
      </c>
      <c r="M87">
        <v>14254</v>
      </c>
      <c r="N87" t="str">
        <f>TEXT(Table1[[#This Row],[Order_Date]],"mmm")</f>
        <v>Feb</v>
      </c>
      <c r="O87">
        <f>YEAR(Table1[[#This Row],[Order_Date]])</f>
        <v>2024</v>
      </c>
      <c r="P87">
        <f t="shared" si="1"/>
        <v>12121350</v>
      </c>
    </row>
    <row r="88" spans="1:16" hidden="1" x14ac:dyDescent="0.3">
      <c r="A88">
        <v>8087</v>
      </c>
      <c r="B88" s="6">
        <v>45440</v>
      </c>
      <c r="C88" t="s">
        <v>116</v>
      </c>
      <c r="D88" t="s">
        <v>14</v>
      </c>
      <c r="E88" t="s">
        <v>15</v>
      </c>
      <c r="F88" t="s">
        <v>16</v>
      </c>
      <c r="G88" t="s">
        <v>51</v>
      </c>
      <c r="H88" t="s">
        <v>44</v>
      </c>
      <c r="I88" t="s">
        <v>87</v>
      </c>
      <c r="J88">
        <v>10167</v>
      </c>
      <c r="K88">
        <v>7</v>
      </c>
      <c r="L88">
        <v>0.04</v>
      </c>
      <c r="M88">
        <v>1943</v>
      </c>
      <c r="N88" t="str">
        <f>TEXT(Table1[[#This Row],[Order_Date]],"mmm")</f>
        <v>May</v>
      </c>
      <c r="O88">
        <f>YEAR(Table1[[#This Row],[Order_Date]])</f>
        <v>2024</v>
      </c>
      <c r="P88">
        <f t="shared" si="1"/>
        <v>12121350</v>
      </c>
    </row>
    <row r="89" spans="1:16" hidden="1" x14ac:dyDescent="0.3">
      <c r="A89">
        <v>8088</v>
      </c>
      <c r="B89" s="6">
        <v>45443</v>
      </c>
      <c r="C89" t="s">
        <v>116</v>
      </c>
      <c r="D89" t="s">
        <v>49</v>
      </c>
      <c r="E89" t="s">
        <v>50</v>
      </c>
      <c r="F89" t="s">
        <v>50</v>
      </c>
      <c r="G89" t="s">
        <v>30</v>
      </c>
      <c r="H89" t="s">
        <v>22</v>
      </c>
      <c r="I89" t="s">
        <v>36</v>
      </c>
      <c r="J89">
        <v>76651</v>
      </c>
      <c r="K89">
        <v>20</v>
      </c>
      <c r="L89">
        <v>0.04</v>
      </c>
      <c r="M89">
        <v>15822</v>
      </c>
      <c r="N89" t="str">
        <f>TEXT(Table1[[#This Row],[Order_Date]],"mmm")</f>
        <v>May</v>
      </c>
      <c r="O89">
        <f>YEAR(Table1[[#This Row],[Order_Date]])</f>
        <v>2024</v>
      </c>
      <c r="P89">
        <f t="shared" si="1"/>
        <v>12121350</v>
      </c>
    </row>
    <row r="90" spans="1:16" hidden="1" x14ac:dyDescent="0.3">
      <c r="A90">
        <v>8089</v>
      </c>
      <c r="B90" s="6">
        <v>45452</v>
      </c>
      <c r="C90" t="s">
        <v>98</v>
      </c>
      <c r="D90" t="s">
        <v>26</v>
      </c>
      <c r="E90" t="s">
        <v>27</v>
      </c>
      <c r="F90" t="s">
        <v>28</v>
      </c>
      <c r="G90" t="s">
        <v>51</v>
      </c>
      <c r="H90" t="s">
        <v>44</v>
      </c>
      <c r="I90" t="s">
        <v>87</v>
      </c>
      <c r="J90">
        <v>46435</v>
      </c>
      <c r="K90">
        <v>16</v>
      </c>
      <c r="L90">
        <v>0.22</v>
      </c>
      <c r="M90">
        <v>8214</v>
      </c>
      <c r="N90" t="str">
        <f>TEXT(Table1[[#This Row],[Order_Date]],"mmm")</f>
        <v>Jun</v>
      </c>
      <c r="O90">
        <f>YEAR(Table1[[#This Row],[Order_Date]])</f>
        <v>2024</v>
      </c>
      <c r="P90">
        <f t="shared" si="1"/>
        <v>12121350</v>
      </c>
    </row>
    <row r="91" spans="1:16" hidden="1" x14ac:dyDescent="0.3">
      <c r="A91">
        <v>8090</v>
      </c>
      <c r="B91" s="6">
        <v>45384</v>
      </c>
      <c r="C91" t="s">
        <v>113</v>
      </c>
      <c r="D91" t="s">
        <v>14</v>
      </c>
      <c r="E91" t="s">
        <v>42</v>
      </c>
      <c r="F91" t="s">
        <v>43</v>
      </c>
      <c r="G91" t="s">
        <v>30</v>
      </c>
      <c r="H91" t="s">
        <v>44</v>
      </c>
      <c r="I91" t="s">
        <v>47</v>
      </c>
      <c r="J91">
        <v>55684</v>
      </c>
      <c r="K91">
        <v>3</v>
      </c>
      <c r="L91">
        <v>0.04</v>
      </c>
      <c r="M91">
        <v>13880</v>
      </c>
      <c r="N91" t="str">
        <f>TEXT(Table1[[#This Row],[Order_Date]],"mmm")</f>
        <v>Apr</v>
      </c>
      <c r="O91">
        <f>YEAR(Table1[[#This Row],[Order_Date]])</f>
        <v>2024</v>
      </c>
      <c r="P91">
        <f t="shared" si="1"/>
        <v>12121350</v>
      </c>
    </row>
    <row r="92" spans="1:16" x14ac:dyDescent="0.3">
      <c r="A92">
        <v>8091</v>
      </c>
      <c r="B92" s="6">
        <v>45411</v>
      </c>
      <c r="C92" t="s">
        <v>134</v>
      </c>
      <c r="D92" t="s">
        <v>26</v>
      </c>
      <c r="E92" t="s">
        <v>70</v>
      </c>
      <c r="F92" t="s">
        <v>71</v>
      </c>
      <c r="G92" t="s">
        <v>30</v>
      </c>
      <c r="H92" t="s">
        <v>22</v>
      </c>
      <c r="I92" t="s">
        <v>23</v>
      </c>
      <c r="J92">
        <v>50852</v>
      </c>
      <c r="K92">
        <v>13</v>
      </c>
      <c r="L92">
        <v>0.04</v>
      </c>
      <c r="M92">
        <v>6065</v>
      </c>
      <c r="N92" t="str">
        <f>TEXT(Table1[[#This Row],[Order_Date]],"mmm")</f>
        <v>Apr</v>
      </c>
      <c r="O92">
        <f>YEAR(Table1[[#This Row],[Order_Date]])</f>
        <v>2024</v>
      </c>
      <c r="P92">
        <f t="shared" si="1"/>
        <v>12121350</v>
      </c>
    </row>
    <row r="93" spans="1:16" hidden="1" x14ac:dyDescent="0.3">
      <c r="A93">
        <v>8092</v>
      </c>
      <c r="B93" s="6">
        <v>45451</v>
      </c>
      <c r="C93" t="s">
        <v>98</v>
      </c>
      <c r="D93" t="s">
        <v>14</v>
      </c>
      <c r="E93" t="s">
        <v>15</v>
      </c>
      <c r="F93" t="s">
        <v>16</v>
      </c>
      <c r="G93" t="s">
        <v>30</v>
      </c>
      <c r="H93" t="s">
        <v>44</v>
      </c>
      <c r="I93" t="s">
        <v>45</v>
      </c>
      <c r="J93">
        <v>25593</v>
      </c>
      <c r="K93">
        <v>10</v>
      </c>
      <c r="L93">
        <v>0.03</v>
      </c>
      <c r="M93">
        <v>2972</v>
      </c>
      <c r="N93" t="str">
        <f>TEXT(Table1[[#This Row],[Order_Date]],"mmm")</f>
        <v>Jun</v>
      </c>
      <c r="O93">
        <f>YEAR(Table1[[#This Row],[Order_Date]])</f>
        <v>2024</v>
      </c>
      <c r="P93">
        <f t="shared" si="1"/>
        <v>12121350</v>
      </c>
    </row>
    <row r="94" spans="1:16" hidden="1" x14ac:dyDescent="0.3">
      <c r="A94">
        <v>8093</v>
      </c>
      <c r="B94" s="6">
        <v>45404</v>
      </c>
      <c r="C94" t="s">
        <v>129</v>
      </c>
      <c r="D94" t="s">
        <v>26</v>
      </c>
      <c r="E94" t="s">
        <v>70</v>
      </c>
      <c r="F94" t="s">
        <v>71</v>
      </c>
      <c r="G94" t="s">
        <v>17</v>
      </c>
      <c r="H94" t="s">
        <v>44</v>
      </c>
      <c r="I94" t="s">
        <v>47</v>
      </c>
      <c r="J94">
        <v>42565</v>
      </c>
      <c r="K94">
        <v>13</v>
      </c>
      <c r="L94">
        <v>0.26</v>
      </c>
      <c r="M94">
        <v>2376</v>
      </c>
      <c r="N94" t="str">
        <f>TEXT(Table1[[#This Row],[Order_Date]],"mmm")</f>
        <v>Apr</v>
      </c>
      <c r="O94">
        <f>YEAR(Table1[[#This Row],[Order_Date]])</f>
        <v>2024</v>
      </c>
      <c r="P94">
        <f t="shared" si="1"/>
        <v>12121350</v>
      </c>
    </row>
    <row r="95" spans="1:16" hidden="1" x14ac:dyDescent="0.3">
      <c r="A95">
        <v>8094</v>
      </c>
      <c r="B95" s="6">
        <v>45416</v>
      </c>
      <c r="C95" t="s">
        <v>135</v>
      </c>
      <c r="D95" t="s">
        <v>33</v>
      </c>
      <c r="E95" t="s">
        <v>34</v>
      </c>
      <c r="F95" t="s">
        <v>35</v>
      </c>
      <c r="G95" t="s">
        <v>17</v>
      </c>
      <c r="H95" t="s">
        <v>44</v>
      </c>
      <c r="I95" t="s">
        <v>87</v>
      </c>
      <c r="J95">
        <v>20633</v>
      </c>
      <c r="K95">
        <v>3</v>
      </c>
      <c r="L95">
        <v>0.16</v>
      </c>
      <c r="M95">
        <v>4369</v>
      </c>
      <c r="N95" t="str">
        <f>TEXT(Table1[[#This Row],[Order_Date]],"mmm")</f>
        <v>May</v>
      </c>
      <c r="O95">
        <f>YEAR(Table1[[#This Row],[Order_Date]])</f>
        <v>2024</v>
      </c>
      <c r="P95">
        <f t="shared" si="1"/>
        <v>12121350</v>
      </c>
    </row>
    <row r="96" spans="1:16" hidden="1" x14ac:dyDescent="0.3">
      <c r="A96">
        <v>8095</v>
      </c>
      <c r="B96" s="6">
        <v>45311</v>
      </c>
      <c r="C96" t="s">
        <v>136</v>
      </c>
      <c r="D96" t="s">
        <v>14</v>
      </c>
      <c r="E96" t="s">
        <v>15</v>
      </c>
      <c r="F96" t="s">
        <v>16</v>
      </c>
      <c r="G96" t="s">
        <v>17</v>
      </c>
      <c r="H96" t="s">
        <v>44</v>
      </c>
      <c r="I96" t="s">
        <v>87</v>
      </c>
      <c r="J96">
        <v>52608</v>
      </c>
      <c r="K96">
        <v>9</v>
      </c>
      <c r="L96">
        <v>0.05</v>
      </c>
      <c r="M96">
        <v>3489</v>
      </c>
      <c r="N96" t="str">
        <f>TEXT(Table1[[#This Row],[Order_Date]],"mmm")</f>
        <v>Jan</v>
      </c>
      <c r="O96">
        <f>YEAR(Table1[[#This Row],[Order_Date]])</f>
        <v>2024</v>
      </c>
      <c r="P96">
        <f t="shared" si="1"/>
        <v>12121350</v>
      </c>
    </row>
    <row r="97" spans="1:16" x14ac:dyDescent="0.3">
      <c r="A97">
        <v>8096</v>
      </c>
      <c r="B97" s="6">
        <v>45296</v>
      </c>
      <c r="C97" t="s">
        <v>137</v>
      </c>
      <c r="D97" t="s">
        <v>26</v>
      </c>
      <c r="E97" t="s">
        <v>27</v>
      </c>
      <c r="F97" t="s">
        <v>28</v>
      </c>
      <c r="G97" t="s">
        <v>30</v>
      </c>
      <c r="H97" t="s">
        <v>44</v>
      </c>
      <c r="I97" t="s">
        <v>45</v>
      </c>
      <c r="J97">
        <v>15027</v>
      </c>
      <c r="K97">
        <v>1</v>
      </c>
      <c r="L97">
        <v>0.19</v>
      </c>
      <c r="M97">
        <v>1730</v>
      </c>
      <c r="N97" t="str">
        <f>TEXT(Table1[[#This Row],[Order_Date]],"mmm")</f>
        <v>Jan</v>
      </c>
      <c r="O97">
        <f>YEAR(Table1[[#This Row],[Order_Date]])</f>
        <v>2024</v>
      </c>
      <c r="P97">
        <f t="shared" si="1"/>
        <v>12121350</v>
      </c>
    </row>
    <row r="98" spans="1:16" hidden="1" x14ac:dyDescent="0.3">
      <c r="A98">
        <v>8097</v>
      </c>
      <c r="B98" s="6">
        <v>45322</v>
      </c>
      <c r="C98" t="s">
        <v>82</v>
      </c>
      <c r="D98" t="s">
        <v>33</v>
      </c>
      <c r="E98" t="s">
        <v>34</v>
      </c>
      <c r="F98" t="s">
        <v>35</v>
      </c>
      <c r="G98" t="s">
        <v>17</v>
      </c>
      <c r="H98" t="s">
        <v>18</v>
      </c>
      <c r="I98" t="s">
        <v>83</v>
      </c>
      <c r="J98">
        <v>64262</v>
      </c>
      <c r="K98">
        <v>10</v>
      </c>
      <c r="L98">
        <v>0.22</v>
      </c>
      <c r="M98">
        <v>4319</v>
      </c>
      <c r="N98" t="str">
        <f>TEXT(Table1[[#This Row],[Order_Date]],"mmm")</f>
        <v>Jan</v>
      </c>
      <c r="O98">
        <f>YEAR(Table1[[#This Row],[Order_Date]])</f>
        <v>2024</v>
      </c>
      <c r="P98">
        <f t="shared" si="1"/>
        <v>12121350</v>
      </c>
    </row>
    <row r="99" spans="1:16" hidden="1" x14ac:dyDescent="0.3">
      <c r="A99">
        <v>8098</v>
      </c>
      <c r="B99" s="6">
        <v>45413</v>
      </c>
      <c r="C99" t="s">
        <v>134</v>
      </c>
      <c r="D99" t="s">
        <v>33</v>
      </c>
      <c r="E99" t="s">
        <v>56</v>
      </c>
      <c r="F99" t="s">
        <v>57</v>
      </c>
      <c r="G99" t="s">
        <v>17</v>
      </c>
      <c r="H99" t="s">
        <v>44</v>
      </c>
      <c r="I99" t="s">
        <v>87</v>
      </c>
      <c r="J99">
        <v>8489</v>
      </c>
      <c r="K99">
        <v>16</v>
      </c>
      <c r="L99">
        <v>0.03</v>
      </c>
      <c r="M99">
        <v>1405</v>
      </c>
      <c r="N99" t="str">
        <f>TEXT(Table1[[#This Row],[Order_Date]],"mmm")</f>
        <v>May</v>
      </c>
      <c r="O99">
        <f>YEAR(Table1[[#This Row],[Order_Date]])</f>
        <v>2024</v>
      </c>
      <c r="P99">
        <f t="shared" si="1"/>
        <v>12121350</v>
      </c>
    </row>
    <row r="100" spans="1:16" hidden="1" x14ac:dyDescent="0.3">
      <c r="A100">
        <v>8099</v>
      </c>
      <c r="B100" s="6">
        <v>45340</v>
      </c>
      <c r="C100" t="s">
        <v>107</v>
      </c>
      <c r="D100" t="s">
        <v>49</v>
      </c>
      <c r="E100" t="s">
        <v>50</v>
      </c>
      <c r="F100" t="s">
        <v>50</v>
      </c>
      <c r="G100" t="s">
        <v>51</v>
      </c>
      <c r="H100" t="s">
        <v>44</v>
      </c>
      <c r="I100" t="s">
        <v>87</v>
      </c>
      <c r="J100">
        <v>11969</v>
      </c>
      <c r="K100">
        <v>11</v>
      </c>
      <c r="L100">
        <v>0.11</v>
      </c>
      <c r="M100">
        <v>652</v>
      </c>
      <c r="N100" t="str">
        <f>TEXT(Table1[[#This Row],[Order_Date]],"mmm")</f>
        <v>Feb</v>
      </c>
      <c r="O100">
        <f>YEAR(Table1[[#This Row],[Order_Date]])</f>
        <v>2024</v>
      </c>
      <c r="P100">
        <f t="shared" si="1"/>
        <v>12121350</v>
      </c>
    </row>
    <row r="101" spans="1:16" hidden="1" x14ac:dyDescent="0.3">
      <c r="A101">
        <v>8100</v>
      </c>
      <c r="B101" s="6">
        <v>45336</v>
      </c>
      <c r="C101" t="s">
        <v>29</v>
      </c>
      <c r="D101" t="s">
        <v>33</v>
      </c>
      <c r="E101" t="s">
        <v>56</v>
      </c>
      <c r="F101" t="s">
        <v>57</v>
      </c>
      <c r="G101" t="s">
        <v>51</v>
      </c>
      <c r="H101" t="s">
        <v>22</v>
      </c>
      <c r="I101" t="s">
        <v>23</v>
      </c>
      <c r="J101">
        <v>62439</v>
      </c>
      <c r="K101">
        <v>20</v>
      </c>
      <c r="L101">
        <v>0.27</v>
      </c>
      <c r="M101">
        <v>10747</v>
      </c>
      <c r="N101" t="str">
        <f>TEXT(Table1[[#This Row],[Order_Date]],"mmm")</f>
        <v>Feb</v>
      </c>
      <c r="O101">
        <f>YEAR(Table1[[#This Row],[Order_Date]])</f>
        <v>2024</v>
      </c>
      <c r="P101">
        <f t="shared" si="1"/>
        <v>12121350</v>
      </c>
    </row>
    <row r="102" spans="1:16" hidden="1" x14ac:dyDescent="0.3">
      <c r="A102">
        <v>8101</v>
      </c>
      <c r="B102" s="6">
        <v>45434</v>
      </c>
      <c r="C102" t="s">
        <v>142</v>
      </c>
      <c r="D102" t="s">
        <v>26</v>
      </c>
      <c r="E102" t="s">
        <v>70</v>
      </c>
      <c r="F102" t="s">
        <v>71</v>
      </c>
      <c r="G102" t="s">
        <v>51</v>
      </c>
      <c r="H102" t="s">
        <v>22</v>
      </c>
      <c r="I102" t="s">
        <v>36</v>
      </c>
      <c r="J102">
        <v>2032</v>
      </c>
      <c r="K102">
        <v>7</v>
      </c>
      <c r="L102">
        <v>0.24</v>
      </c>
      <c r="M102">
        <v>298</v>
      </c>
      <c r="N102" t="str">
        <f>TEXT(Table1[[#This Row],[Order_Date]],"mmm")</f>
        <v>May</v>
      </c>
      <c r="O102">
        <f>YEAR(Table1[[#This Row],[Order_Date]])</f>
        <v>2024</v>
      </c>
      <c r="P102">
        <f t="shared" si="1"/>
        <v>12121350</v>
      </c>
    </row>
    <row r="103" spans="1:16" hidden="1" x14ac:dyDescent="0.3">
      <c r="A103">
        <v>8102</v>
      </c>
      <c r="B103" s="6">
        <v>45411</v>
      </c>
      <c r="C103" t="s">
        <v>143</v>
      </c>
      <c r="D103" t="s">
        <v>33</v>
      </c>
      <c r="E103" t="s">
        <v>56</v>
      </c>
      <c r="F103" t="s">
        <v>57</v>
      </c>
      <c r="G103" t="s">
        <v>51</v>
      </c>
      <c r="H103" t="s">
        <v>44</v>
      </c>
      <c r="I103" t="s">
        <v>45</v>
      </c>
      <c r="J103">
        <v>70072</v>
      </c>
      <c r="K103">
        <v>17</v>
      </c>
      <c r="L103">
        <v>0.18</v>
      </c>
      <c r="M103">
        <v>15415</v>
      </c>
      <c r="N103" t="str">
        <f>TEXT(Table1[[#This Row],[Order_Date]],"mmm")</f>
        <v>Apr</v>
      </c>
      <c r="O103">
        <f>YEAR(Table1[[#This Row],[Order_Date]])</f>
        <v>2024</v>
      </c>
      <c r="P103">
        <f t="shared" si="1"/>
        <v>12121350</v>
      </c>
    </row>
    <row r="104" spans="1:16" hidden="1" x14ac:dyDescent="0.3">
      <c r="A104">
        <v>8103</v>
      </c>
      <c r="B104" s="6">
        <v>45422</v>
      </c>
      <c r="C104" t="s">
        <v>106</v>
      </c>
      <c r="D104" t="s">
        <v>49</v>
      </c>
      <c r="E104" t="s">
        <v>50</v>
      </c>
      <c r="F104" t="s">
        <v>50</v>
      </c>
      <c r="G104" t="s">
        <v>51</v>
      </c>
      <c r="H104" t="s">
        <v>22</v>
      </c>
      <c r="I104" t="s">
        <v>23</v>
      </c>
      <c r="J104">
        <v>32006</v>
      </c>
      <c r="K104">
        <v>3</v>
      </c>
      <c r="L104">
        <v>0</v>
      </c>
      <c r="M104">
        <v>1761</v>
      </c>
      <c r="N104" t="str">
        <f>TEXT(Table1[[#This Row],[Order_Date]],"mmm")</f>
        <v>May</v>
      </c>
      <c r="O104">
        <f>YEAR(Table1[[#This Row],[Order_Date]])</f>
        <v>2024</v>
      </c>
      <c r="P104">
        <f t="shared" si="1"/>
        <v>12121350</v>
      </c>
    </row>
    <row r="105" spans="1:16" hidden="1" x14ac:dyDescent="0.3">
      <c r="A105">
        <v>8104</v>
      </c>
      <c r="B105" s="6">
        <v>45446</v>
      </c>
      <c r="C105" t="s">
        <v>75</v>
      </c>
      <c r="D105" t="s">
        <v>26</v>
      </c>
      <c r="E105" t="s">
        <v>70</v>
      </c>
      <c r="F105" t="s">
        <v>71</v>
      </c>
      <c r="G105" t="s">
        <v>17</v>
      </c>
      <c r="H105" t="s">
        <v>22</v>
      </c>
      <c r="I105" t="s">
        <v>36</v>
      </c>
      <c r="J105">
        <v>63459</v>
      </c>
      <c r="K105">
        <v>9</v>
      </c>
      <c r="L105">
        <v>0.21</v>
      </c>
      <c r="M105">
        <v>7736</v>
      </c>
      <c r="N105" t="str">
        <f>TEXT(Table1[[#This Row],[Order_Date]],"mmm")</f>
        <v>Jun</v>
      </c>
      <c r="O105">
        <f>YEAR(Table1[[#This Row],[Order_Date]])</f>
        <v>2024</v>
      </c>
      <c r="P105">
        <f t="shared" si="1"/>
        <v>12121350</v>
      </c>
    </row>
    <row r="106" spans="1:16" hidden="1" x14ac:dyDescent="0.3">
      <c r="A106">
        <v>8105</v>
      </c>
      <c r="B106" s="6">
        <v>45399</v>
      </c>
      <c r="C106" t="s">
        <v>144</v>
      </c>
      <c r="D106" t="s">
        <v>33</v>
      </c>
      <c r="E106" t="s">
        <v>56</v>
      </c>
      <c r="F106" t="s">
        <v>57</v>
      </c>
      <c r="G106" t="s">
        <v>30</v>
      </c>
      <c r="H106" t="s">
        <v>22</v>
      </c>
      <c r="I106" t="s">
        <v>68</v>
      </c>
      <c r="J106">
        <v>51070</v>
      </c>
      <c r="K106">
        <v>14</v>
      </c>
      <c r="L106">
        <v>7.0000000000000007E-2</v>
      </c>
      <c r="M106">
        <v>6403</v>
      </c>
      <c r="N106" t="str">
        <f>TEXT(Table1[[#This Row],[Order_Date]],"mmm")</f>
        <v>Apr</v>
      </c>
      <c r="O106">
        <f>YEAR(Table1[[#This Row],[Order_Date]])</f>
        <v>2024</v>
      </c>
      <c r="P106">
        <f t="shared" si="1"/>
        <v>12121350</v>
      </c>
    </row>
    <row r="107" spans="1:16" hidden="1" x14ac:dyDescent="0.3">
      <c r="A107">
        <v>8106</v>
      </c>
      <c r="B107" s="6">
        <v>45373</v>
      </c>
      <c r="C107" t="s">
        <v>100</v>
      </c>
      <c r="D107" t="s">
        <v>14</v>
      </c>
      <c r="E107" t="s">
        <v>15</v>
      </c>
      <c r="F107" t="s">
        <v>16</v>
      </c>
      <c r="G107" t="s">
        <v>51</v>
      </c>
      <c r="H107" t="s">
        <v>18</v>
      </c>
      <c r="I107" t="s">
        <v>83</v>
      </c>
      <c r="J107">
        <v>52402</v>
      </c>
      <c r="K107">
        <v>18</v>
      </c>
      <c r="L107">
        <v>0.17</v>
      </c>
      <c r="M107">
        <v>5159</v>
      </c>
      <c r="N107" t="str">
        <f>TEXT(Table1[[#This Row],[Order_Date]],"mmm")</f>
        <v>Mar</v>
      </c>
      <c r="O107">
        <f>YEAR(Table1[[#This Row],[Order_Date]])</f>
        <v>2024</v>
      </c>
      <c r="P107">
        <f t="shared" si="1"/>
        <v>12121350</v>
      </c>
    </row>
    <row r="108" spans="1:16" hidden="1" x14ac:dyDescent="0.3">
      <c r="A108">
        <v>8107</v>
      </c>
      <c r="B108" s="6">
        <v>45423</v>
      </c>
      <c r="C108" t="s">
        <v>145</v>
      </c>
      <c r="D108" t="s">
        <v>14</v>
      </c>
      <c r="E108" t="s">
        <v>15</v>
      </c>
      <c r="F108" t="s">
        <v>16</v>
      </c>
      <c r="G108" t="s">
        <v>30</v>
      </c>
      <c r="H108" t="s">
        <v>18</v>
      </c>
      <c r="I108" t="s">
        <v>83</v>
      </c>
      <c r="J108">
        <v>5091</v>
      </c>
      <c r="K108">
        <v>4</v>
      </c>
      <c r="L108">
        <v>0.24</v>
      </c>
      <c r="M108">
        <v>784</v>
      </c>
      <c r="N108" t="str">
        <f>TEXT(Table1[[#This Row],[Order_Date]],"mmm")</f>
        <v>May</v>
      </c>
      <c r="O108">
        <f>YEAR(Table1[[#This Row],[Order_Date]])</f>
        <v>2024</v>
      </c>
      <c r="P108">
        <f t="shared" si="1"/>
        <v>12121350</v>
      </c>
    </row>
    <row r="109" spans="1:16" hidden="1" x14ac:dyDescent="0.3">
      <c r="A109">
        <v>8108</v>
      </c>
      <c r="B109" s="6">
        <v>45457</v>
      </c>
      <c r="C109" t="s">
        <v>54</v>
      </c>
      <c r="D109" t="s">
        <v>26</v>
      </c>
      <c r="E109" t="s">
        <v>70</v>
      </c>
      <c r="F109" t="s">
        <v>71</v>
      </c>
      <c r="G109" t="s">
        <v>51</v>
      </c>
      <c r="H109" t="s">
        <v>18</v>
      </c>
      <c r="I109" t="s">
        <v>19</v>
      </c>
      <c r="J109">
        <v>51887</v>
      </c>
      <c r="K109">
        <v>12</v>
      </c>
      <c r="L109">
        <v>0.12</v>
      </c>
      <c r="M109">
        <v>6555</v>
      </c>
      <c r="N109" t="str">
        <f>TEXT(Table1[[#This Row],[Order_Date]],"mmm")</f>
        <v>Jun</v>
      </c>
      <c r="O109">
        <f>YEAR(Table1[[#This Row],[Order_Date]])</f>
        <v>2024</v>
      </c>
      <c r="P109">
        <f t="shared" si="1"/>
        <v>12121350</v>
      </c>
    </row>
    <row r="110" spans="1:16" hidden="1" x14ac:dyDescent="0.3">
      <c r="A110">
        <v>8109</v>
      </c>
      <c r="B110" s="6">
        <v>45316</v>
      </c>
      <c r="C110" t="s">
        <v>138</v>
      </c>
      <c r="D110" t="s">
        <v>33</v>
      </c>
      <c r="E110" t="s">
        <v>56</v>
      </c>
      <c r="F110" t="s">
        <v>57</v>
      </c>
      <c r="G110" t="s">
        <v>17</v>
      </c>
      <c r="H110" t="s">
        <v>22</v>
      </c>
      <c r="I110" t="s">
        <v>23</v>
      </c>
      <c r="J110">
        <v>73133</v>
      </c>
      <c r="K110">
        <v>16</v>
      </c>
      <c r="L110">
        <v>0.05</v>
      </c>
      <c r="M110">
        <v>11981</v>
      </c>
      <c r="N110" t="str">
        <f>TEXT(Table1[[#This Row],[Order_Date]],"mmm")</f>
        <v>Jan</v>
      </c>
      <c r="O110">
        <f>YEAR(Table1[[#This Row],[Order_Date]])</f>
        <v>2024</v>
      </c>
      <c r="P110">
        <f t="shared" si="1"/>
        <v>12121350</v>
      </c>
    </row>
    <row r="111" spans="1:16" hidden="1" x14ac:dyDescent="0.3">
      <c r="A111">
        <v>8110</v>
      </c>
      <c r="B111" s="6">
        <v>45461</v>
      </c>
      <c r="C111" t="s">
        <v>81</v>
      </c>
      <c r="D111" t="s">
        <v>14</v>
      </c>
      <c r="E111" t="s">
        <v>42</v>
      </c>
      <c r="F111" t="s">
        <v>43</v>
      </c>
      <c r="G111" t="s">
        <v>30</v>
      </c>
      <c r="H111" t="s">
        <v>18</v>
      </c>
      <c r="I111" t="s">
        <v>39</v>
      </c>
      <c r="J111">
        <v>54223</v>
      </c>
      <c r="K111">
        <v>16</v>
      </c>
      <c r="L111">
        <v>0.28999999999999998</v>
      </c>
      <c r="M111">
        <v>8854</v>
      </c>
      <c r="N111" t="str">
        <f>TEXT(Table1[[#This Row],[Order_Date]],"mmm")</f>
        <v>Jun</v>
      </c>
      <c r="O111">
        <f>YEAR(Table1[[#This Row],[Order_Date]])</f>
        <v>2024</v>
      </c>
      <c r="P111">
        <f t="shared" si="1"/>
        <v>12121350</v>
      </c>
    </row>
    <row r="112" spans="1:16" hidden="1" x14ac:dyDescent="0.3">
      <c r="A112">
        <v>8111</v>
      </c>
      <c r="B112" s="6">
        <v>45389</v>
      </c>
      <c r="C112" t="s">
        <v>115</v>
      </c>
      <c r="D112" t="s">
        <v>49</v>
      </c>
      <c r="E112" t="s">
        <v>66</v>
      </c>
      <c r="F112" t="s">
        <v>67</v>
      </c>
      <c r="G112" t="s">
        <v>30</v>
      </c>
      <c r="H112" t="s">
        <v>44</v>
      </c>
      <c r="I112" t="s">
        <v>47</v>
      </c>
      <c r="J112">
        <v>37804</v>
      </c>
      <c r="K112">
        <v>8</v>
      </c>
      <c r="L112">
        <v>0.13</v>
      </c>
      <c r="M112">
        <v>2912</v>
      </c>
      <c r="N112" t="str">
        <f>TEXT(Table1[[#This Row],[Order_Date]],"mmm")</f>
        <v>Apr</v>
      </c>
      <c r="O112">
        <f>YEAR(Table1[[#This Row],[Order_Date]])</f>
        <v>2024</v>
      </c>
      <c r="P112">
        <f t="shared" si="1"/>
        <v>12121350</v>
      </c>
    </row>
    <row r="113" spans="1:16" hidden="1" x14ac:dyDescent="0.3">
      <c r="A113">
        <v>8112</v>
      </c>
      <c r="B113" s="6">
        <v>45362</v>
      </c>
      <c r="C113" t="s">
        <v>122</v>
      </c>
      <c r="D113" t="s">
        <v>14</v>
      </c>
      <c r="E113" t="s">
        <v>15</v>
      </c>
      <c r="F113" t="s">
        <v>16</v>
      </c>
      <c r="G113" t="s">
        <v>51</v>
      </c>
      <c r="H113" t="s">
        <v>22</v>
      </c>
      <c r="I113" t="s">
        <v>36</v>
      </c>
      <c r="J113">
        <v>35261</v>
      </c>
      <c r="K113">
        <v>18</v>
      </c>
      <c r="L113">
        <v>0.16</v>
      </c>
      <c r="M113">
        <v>3913</v>
      </c>
      <c r="N113" t="str">
        <f>TEXT(Table1[[#This Row],[Order_Date]],"mmm")</f>
        <v>Mar</v>
      </c>
      <c r="O113">
        <f>YEAR(Table1[[#This Row],[Order_Date]])</f>
        <v>2024</v>
      </c>
      <c r="P113">
        <f t="shared" si="1"/>
        <v>12121350</v>
      </c>
    </row>
    <row r="114" spans="1:16" hidden="1" x14ac:dyDescent="0.3">
      <c r="A114">
        <v>8113</v>
      </c>
      <c r="B114" s="6">
        <v>45339</v>
      </c>
      <c r="C114" t="s">
        <v>111</v>
      </c>
      <c r="D114" t="s">
        <v>33</v>
      </c>
      <c r="E114" t="s">
        <v>56</v>
      </c>
      <c r="F114" t="s">
        <v>57</v>
      </c>
      <c r="G114" t="s">
        <v>51</v>
      </c>
      <c r="H114" t="s">
        <v>18</v>
      </c>
      <c r="I114" t="s">
        <v>19</v>
      </c>
      <c r="J114">
        <v>41958</v>
      </c>
      <c r="K114">
        <v>8</v>
      </c>
      <c r="L114">
        <v>0.28999999999999998</v>
      </c>
      <c r="M114">
        <v>9727</v>
      </c>
      <c r="N114" t="str">
        <f>TEXT(Table1[[#This Row],[Order_Date]],"mmm")</f>
        <v>Feb</v>
      </c>
      <c r="O114">
        <f>YEAR(Table1[[#This Row],[Order_Date]])</f>
        <v>2024</v>
      </c>
      <c r="P114">
        <f t="shared" si="1"/>
        <v>12121350</v>
      </c>
    </row>
    <row r="115" spans="1:16" hidden="1" x14ac:dyDescent="0.3">
      <c r="A115">
        <v>8114</v>
      </c>
      <c r="B115" s="6">
        <v>45356</v>
      </c>
      <c r="C115" t="s">
        <v>41</v>
      </c>
      <c r="D115" t="s">
        <v>33</v>
      </c>
      <c r="E115" t="s">
        <v>56</v>
      </c>
      <c r="F115" t="s">
        <v>57</v>
      </c>
      <c r="G115" t="s">
        <v>17</v>
      </c>
      <c r="H115" t="s">
        <v>22</v>
      </c>
      <c r="I115" t="s">
        <v>23</v>
      </c>
      <c r="J115">
        <v>37876</v>
      </c>
      <c r="K115">
        <v>5</v>
      </c>
      <c r="L115">
        <v>0.21</v>
      </c>
      <c r="M115">
        <v>3715</v>
      </c>
      <c r="N115" t="str">
        <f>TEXT(Table1[[#This Row],[Order_Date]],"mmm")</f>
        <v>Mar</v>
      </c>
      <c r="O115">
        <f>YEAR(Table1[[#This Row],[Order_Date]])</f>
        <v>2024</v>
      </c>
      <c r="P115">
        <f t="shared" si="1"/>
        <v>12121350</v>
      </c>
    </row>
    <row r="116" spans="1:16" hidden="1" x14ac:dyDescent="0.3">
      <c r="A116">
        <v>8115</v>
      </c>
      <c r="B116" s="6">
        <v>45418</v>
      </c>
      <c r="C116" t="s">
        <v>150</v>
      </c>
      <c r="D116" t="s">
        <v>26</v>
      </c>
      <c r="E116" t="s">
        <v>70</v>
      </c>
      <c r="F116" t="s">
        <v>71</v>
      </c>
      <c r="G116" t="s">
        <v>17</v>
      </c>
      <c r="H116" t="s">
        <v>22</v>
      </c>
      <c r="I116" t="s">
        <v>36</v>
      </c>
      <c r="J116">
        <v>45475</v>
      </c>
      <c r="K116">
        <v>10</v>
      </c>
      <c r="L116">
        <v>0.25</v>
      </c>
      <c r="M116">
        <v>5968</v>
      </c>
      <c r="N116" t="str">
        <f>TEXT(Table1[[#This Row],[Order_Date]],"mmm")</f>
        <v>May</v>
      </c>
      <c r="O116">
        <f>YEAR(Table1[[#This Row],[Order_Date]])</f>
        <v>2024</v>
      </c>
      <c r="P116">
        <f t="shared" si="1"/>
        <v>12121350</v>
      </c>
    </row>
    <row r="117" spans="1:16" hidden="1" x14ac:dyDescent="0.3">
      <c r="A117">
        <v>8116</v>
      </c>
      <c r="B117" s="6">
        <v>45370</v>
      </c>
      <c r="C117" t="s">
        <v>151</v>
      </c>
      <c r="D117" t="s">
        <v>14</v>
      </c>
      <c r="E117" t="s">
        <v>42</v>
      </c>
      <c r="F117" t="s">
        <v>43</v>
      </c>
      <c r="G117" t="s">
        <v>30</v>
      </c>
      <c r="H117" t="s">
        <v>22</v>
      </c>
      <c r="I117" t="s">
        <v>36</v>
      </c>
      <c r="J117">
        <v>41264</v>
      </c>
      <c r="K117">
        <v>14</v>
      </c>
      <c r="L117">
        <v>0.05</v>
      </c>
      <c r="M117">
        <v>3715</v>
      </c>
      <c r="N117" t="str">
        <f>TEXT(Table1[[#This Row],[Order_Date]],"mmm")</f>
        <v>Mar</v>
      </c>
      <c r="O117">
        <f>YEAR(Table1[[#This Row],[Order_Date]])</f>
        <v>2024</v>
      </c>
      <c r="P117">
        <f t="shared" si="1"/>
        <v>12121350</v>
      </c>
    </row>
    <row r="118" spans="1:16" hidden="1" x14ac:dyDescent="0.3">
      <c r="A118">
        <v>8117</v>
      </c>
      <c r="B118" s="6">
        <v>45447</v>
      </c>
      <c r="C118" t="s">
        <v>25</v>
      </c>
      <c r="D118" t="s">
        <v>33</v>
      </c>
      <c r="E118" t="s">
        <v>34</v>
      </c>
      <c r="F118" t="s">
        <v>35</v>
      </c>
      <c r="G118" t="s">
        <v>17</v>
      </c>
      <c r="H118" t="s">
        <v>22</v>
      </c>
      <c r="I118" t="s">
        <v>36</v>
      </c>
      <c r="J118">
        <v>14850</v>
      </c>
      <c r="K118">
        <v>6</v>
      </c>
      <c r="L118">
        <v>0.28999999999999998</v>
      </c>
      <c r="M118">
        <v>2763</v>
      </c>
      <c r="N118" t="str">
        <f>TEXT(Table1[[#This Row],[Order_Date]],"mmm")</f>
        <v>Jun</v>
      </c>
      <c r="O118">
        <f>YEAR(Table1[[#This Row],[Order_Date]])</f>
        <v>2024</v>
      </c>
      <c r="P118">
        <f t="shared" si="1"/>
        <v>12121350</v>
      </c>
    </row>
    <row r="119" spans="1:16" hidden="1" x14ac:dyDescent="0.3">
      <c r="A119">
        <v>8118</v>
      </c>
      <c r="B119" s="6">
        <v>45443</v>
      </c>
      <c r="C119" t="s">
        <v>116</v>
      </c>
      <c r="D119" t="s">
        <v>14</v>
      </c>
      <c r="E119" t="s">
        <v>42</v>
      </c>
      <c r="F119" t="s">
        <v>43</v>
      </c>
      <c r="G119" t="s">
        <v>51</v>
      </c>
      <c r="H119" t="s">
        <v>44</v>
      </c>
      <c r="I119" t="s">
        <v>47</v>
      </c>
      <c r="J119">
        <v>70936</v>
      </c>
      <c r="K119">
        <v>13</v>
      </c>
      <c r="L119">
        <v>0.17</v>
      </c>
      <c r="M119">
        <v>14606</v>
      </c>
      <c r="N119" t="str">
        <f>TEXT(Table1[[#This Row],[Order_Date]],"mmm")</f>
        <v>May</v>
      </c>
      <c r="O119">
        <f>YEAR(Table1[[#This Row],[Order_Date]])</f>
        <v>2024</v>
      </c>
      <c r="P119">
        <f t="shared" si="1"/>
        <v>12121350</v>
      </c>
    </row>
    <row r="120" spans="1:16" hidden="1" x14ac:dyDescent="0.3">
      <c r="A120">
        <v>8119</v>
      </c>
      <c r="B120" s="6">
        <v>45333</v>
      </c>
      <c r="C120" t="s">
        <v>29</v>
      </c>
      <c r="D120" t="s">
        <v>14</v>
      </c>
      <c r="E120" t="s">
        <v>15</v>
      </c>
      <c r="F120" t="s">
        <v>16</v>
      </c>
      <c r="G120" t="s">
        <v>30</v>
      </c>
      <c r="H120" t="s">
        <v>22</v>
      </c>
      <c r="I120" t="s">
        <v>36</v>
      </c>
      <c r="J120">
        <v>60945</v>
      </c>
      <c r="K120">
        <v>13</v>
      </c>
      <c r="L120">
        <v>0.13</v>
      </c>
      <c r="M120">
        <v>11707</v>
      </c>
      <c r="N120" t="str">
        <f>TEXT(Table1[[#This Row],[Order_Date]],"mmm")</f>
        <v>Feb</v>
      </c>
      <c r="O120">
        <f>YEAR(Table1[[#This Row],[Order_Date]])</f>
        <v>2024</v>
      </c>
      <c r="P120">
        <f t="shared" si="1"/>
        <v>12121350</v>
      </c>
    </row>
    <row r="121" spans="1:16" hidden="1" x14ac:dyDescent="0.3">
      <c r="A121">
        <v>8120</v>
      </c>
      <c r="B121" s="6">
        <v>45454</v>
      </c>
      <c r="C121" t="s">
        <v>147</v>
      </c>
      <c r="D121" t="s">
        <v>26</v>
      </c>
      <c r="E121" t="s">
        <v>27</v>
      </c>
      <c r="F121" t="s">
        <v>28</v>
      </c>
      <c r="G121" t="s">
        <v>51</v>
      </c>
      <c r="H121" t="s">
        <v>44</v>
      </c>
      <c r="I121" t="s">
        <v>87</v>
      </c>
      <c r="J121">
        <v>59902</v>
      </c>
      <c r="K121">
        <v>3</v>
      </c>
      <c r="L121">
        <v>0.12</v>
      </c>
      <c r="M121">
        <v>3581</v>
      </c>
      <c r="N121" t="str">
        <f>TEXT(Table1[[#This Row],[Order_Date]],"mmm")</f>
        <v>Jun</v>
      </c>
      <c r="O121">
        <f>YEAR(Table1[[#This Row],[Order_Date]])</f>
        <v>2024</v>
      </c>
      <c r="P121">
        <f t="shared" si="1"/>
        <v>12121350</v>
      </c>
    </row>
    <row r="122" spans="1:16" x14ac:dyDescent="0.3">
      <c r="A122">
        <v>8121</v>
      </c>
      <c r="B122" s="6">
        <v>45393</v>
      </c>
      <c r="C122" t="s">
        <v>65</v>
      </c>
      <c r="D122" t="s">
        <v>26</v>
      </c>
      <c r="E122" t="s">
        <v>27</v>
      </c>
      <c r="F122" t="s">
        <v>28</v>
      </c>
      <c r="G122" t="s">
        <v>30</v>
      </c>
      <c r="H122" t="s">
        <v>22</v>
      </c>
      <c r="I122" t="s">
        <v>68</v>
      </c>
      <c r="J122">
        <v>7162</v>
      </c>
      <c r="K122">
        <v>19</v>
      </c>
      <c r="L122">
        <v>0.28999999999999998</v>
      </c>
      <c r="M122">
        <v>1450</v>
      </c>
      <c r="N122" t="str">
        <f>TEXT(Table1[[#This Row],[Order_Date]],"mmm")</f>
        <v>Apr</v>
      </c>
      <c r="O122">
        <f>YEAR(Table1[[#This Row],[Order_Date]])</f>
        <v>2024</v>
      </c>
      <c r="P122">
        <f t="shared" si="1"/>
        <v>12121350</v>
      </c>
    </row>
    <row r="123" spans="1:16" x14ac:dyDescent="0.3">
      <c r="A123">
        <v>8122</v>
      </c>
      <c r="B123" s="6">
        <v>45387</v>
      </c>
      <c r="C123" t="s">
        <v>121</v>
      </c>
      <c r="D123" t="s">
        <v>26</v>
      </c>
      <c r="E123" t="s">
        <v>70</v>
      </c>
      <c r="F123" t="s">
        <v>71</v>
      </c>
      <c r="G123" t="s">
        <v>30</v>
      </c>
      <c r="H123" t="s">
        <v>22</v>
      </c>
      <c r="I123" t="s">
        <v>36</v>
      </c>
      <c r="J123">
        <v>50517</v>
      </c>
      <c r="K123">
        <v>12</v>
      </c>
      <c r="L123">
        <v>0.28999999999999998</v>
      </c>
      <c r="M123">
        <v>3410</v>
      </c>
      <c r="N123" t="str">
        <f>TEXT(Table1[[#This Row],[Order_Date]],"mmm")</f>
        <v>Apr</v>
      </c>
      <c r="O123">
        <f>YEAR(Table1[[#This Row],[Order_Date]])</f>
        <v>2024</v>
      </c>
      <c r="P123">
        <f t="shared" si="1"/>
        <v>12121350</v>
      </c>
    </row>
    <row r="124" spans="1:16" hidden="1" x14ac:dyDescent="0.3">
      <c r="A124">
        <v>8123</v>
      </c>
      <c r="B124" s="6">
        <v>45332</v>
      </c>
      <c r="C124" t="s">
        <v>154</v>
      </c>
      <c r="D124" t="s">
        <v>49</v>
      </c>
      <c r="E124" t="s">
        <v>66</v>
      </c>
      <c r="F124" t="s">
        <v>67</v>
      </c>
      <c r="G124" t="s">
        <v>30</v>
      </c>
      <c r="H124" t="s">
        <v>44</v>
      </c>
      <c r="I124" t="s">
        <v>47</v>
      </c>
      <c r="J124">
        <v>7338</v>
      </c>
      <c r="K124">
        <v>5</v>
      </c>
      <c r="L124">
        <v>0.17</v>
      </c>
      <c r="M124">
        <v>542</v>
      </c>
      <c r="N124" t="str">
        <f>TEXT(Table1[[#This Row],[Order_Date]],"mmm")</f>
        <v>Feb</v>
      </c>
      <c r="O124">
        <f>YEAR(Table1[[#This Row],[Order_Date]])</f>
        <v>2024</v>
      </c>
      <c r="P124">
        <f t="shared" si="1"/>
        <v>12121350</v>
      </c>
    </row>
    <row r="125" spans="1:16" hidden="1" x14ac:dyDescent="0.3">
      <c r="A125">
        <v>8124</v>
      </c>
      <c r="B125" s="6">
        <v>45323</v>
      </c>
      <c r="C125" t="s">
        <v>155</v>
      </c>
      <c r="D125" t="s">
        <v>26</v>
      </c>
      <c r="E125" t="s">
        <v>70</v>
      </c>
      <c r="F125" t="s">
        <v>71</v>
      </c>
      <c r="G125" t="s">
        <v>17</v>
      </c>
      <c r="H125" t="s">
        <v>44</v>
      </c>
      <c r="I125" t="s">
        <v>47</v>
      </c>
      <c r="J125">
        <v>8508</v>
      </c>
      <c r="K125">
        <v>6</v>
      </c>
      <c r="L125">
        <v>0.25</v>
      </c>
      <c r="M125">
        <v>2093</v>
      </c>
      <c r="N125" t="str">
        <f>TEXT(Table1[[#This Row],[Order_Date]],"mmm")</f>
        <v>Feb</v>
      </c>
      <c r="O125">
        <f>YEAR(Table1[[#This Row],[Order_Date]])</f>
        <v>2024</v>
      </c>
      <c r="P125">
        <f t="shared" si="1"/>
        <v>12121350</v>
      </c>
    </row>
    <row r="126" spans="1:16" hidden="1" x14ac:dyDescent="0.3">
      <c r="A126">
        <v>8125</v>
      </c>
      <c r="B126" s="6">
        <v>45439</v>
      </c>
      <c r="C126" t="s">
        <v>52</v>
      </c>
      <c r="D126" t="s">
        <v>49</v>
      </c>
      <c r="E126" t="s">
        <v>50</v>
      </c>
      <c r="F126" t="s">
        <v>50</v>
      </c>
      <c r="G126" t="s">
        <v>30</v>
      </c>
      <c r="H126" t="s">
        <v>22</v>
      </c>
      <c r="I126" t="s">
        <v>23</v>
      </c>
      <c r="J126">
        <v>16721</v>
      </c>
      <c r="K126">
        <v>3</v>
      </c>
      <c r="L126">
        <v>0.23</v>
      </c>
      <c r="M126">
        <v>3332</v>
      </c>
      <c r="N126" t="str">
        <f>TEXT(Table1[[#This Row],[Order_Date]],"mmm")</f>
        <v>May</v>
      </c>
      <c r="O126">
        <f>YEAR(Table1[[#This Row],[Order_Date]])</f>
        <v>2024</v>
      </c>
      <c r="P126">
        <f t="shared" si="1"/>
        <v>12121350</v>
      </c>
    </row>
    <row r="127" spans="1:16" hidden="1" x14ac:dyDescent="0.3">
      <c r="A127">
        <v>8126</v>
      </c>
      <c r="B127" s="6">
        <v>45334</v>
      </c>
      <c r="C127" t="s">
        <v>29</v>
      </c>
      <c r="D127" t="s">
        <v>49</v>
      </c>
      <c r="E127" t="s">
        <v>66</v>
      </c>
      <c r="F127" t="s">
        <v>67</v>
      </c>
      <c r="G127" t="s">
        <v>17</v>
      </c>
      <c r="H127" t="s">
        <v>18</v>
      </c>
      <c r="I127" t="s">
        <v>19</v>
      </c>
      <c r="J127">
        <v>26410</v>
      </c>
      <c r="K127">
        <v>2</v>
      </c>
      <c r="L127">
        <v>0.06</v>
      </c>
      <c r="M127">
        <v>6005</v>
      </c>
      <c r="N127" t="str">
        <f>TEXT(Table1[[#This Row],[Order_Date]],"mmm")</f>
        <v>Feb</v>
      </c>
      <c r="O127">
        <f>YEAR(Table1[[#This Row],[Order_Date]])</f>
        <v>2024</v>
      </c>
      <c r="P127">
        <f t="shared" si="1"/>
        <v>12121350</v>
      </c>
    </row>
    <row r="128" spans="1:16" hidden="1" x14ac:dyDescent="0.3">
      <c r="A128">
        <v>8127</v>
      </c>
      <c r="B128" s="6">
        <v>45410</v>
      </c>
      <c r="C128" t="s">
        <v>69</v>
      </c>
      <c r="D128" t="s">
        <v>14</v>
      </c>
      <c r="E128" t="s">
        <v>15</v>
      </c>
      <c r="F128" t="s">
        <v>16</v>
      </c>
      <c r="G128" t="s">
        <v>30</v>
      </c>
      <c r="H128" t="s">
        <v>18</v>
      </c>
      <c r="I128" t="s">
        <v>19</v>
      </c>
      <c r="J128">
        <v>41147</v>
      </c>
      <c r="K128">
        <v>18</v>
      </c>
      <c r="L128">
        <v>0.19</v>
      </c>
      <c r="M128">
        <v>6265</v>
      </c>
      <c r="N128" t="str">
        <f>TEXT(Table1[[#This Row],[Order_Date]],"mmm")</f>
        <v>Apr</v>
      </c>
      <c r="O128">
        <f>YEAR(Table1[[#This Row],[Order_Date]])</f>
        <v>2024</v>
      </c>
      <c r="P128">
        <f t="shared" si="1"/>
        <v>12121350</v>
      </c>
    </row>
    <row r="129" spans="1:16" hidden="1" x14ac:dyDescent="0.3">
      <c r="A129">
        <v>8128</v>
      </c>
      <c r="B129" s="6">
        <v>45297</v>
      </c>
      <c r="C129" t="s">
        <v>88</v>
      </c>
      <c r="D129" t="s">
        <v>14</v>
      </c>
      <c r="E129" t="s">
        <v>15</v>
      </c>
      <c r="F129" t="s">
        <v>16</v>
      </c>
      <c r="G129" t="s">
        <v>30</v>
      </c>
      <c r="H129" t="s">
        <v>18</v>
      </c>
      <c r="I129" t="s">
        <v>19</v>
      </c>
      <c r="J129">
        <v>43491</v>
      </c>
      <c r="K129">
        <v>6</v>
      </c>
      <c r="L129">
        <v>0.2</v>
      </c>
      <c r="M129">
        <v>3691</v>
      </c>
      <c r="N129" t="str">
        <f>TEXT(Table1[[#This Row],[Order_Date]],"mmm")</f>
        <v>Jan</v>
      </c>
      <c r="O129">
        <f>YEAR(Table1[[#This Row],[Order_Date]])</f>
        <v>2024</v>
      </c>
      <c r="P129">
        <f t="shared" si="1"/>
        <v>12121350</v>
      </c>
    </row>
    <row r="130" spans="1:16" hidden="1" x14ac:dyDescent="0.3">
      <c r="A130">
        <v>8129</v>
      </c>
      <c r="B130" s="6">
        <v>45401</v>
      </c>
      <c r="C130" t="s">
        <v>128</v>
      </c>
      <c r="D130" t="s">
        <v>33</v>
      </c>
      <c r="E130" t="s">
        <v>56</v>
      </c>
      <c r="F130" t="s">
        <v>57</v>
      </c>
      <c r="G130" t="s">
        <v>51</v>
      </c>
      <c r="H130" t="s">
        <v>22</v>
      </c>
      <c r="I130" t="s">
        <v>68</v>
      </c>
      <c r="J130">
        <v>75363</v>
      </c>
      <c r="K130">
        <v>3</v>
      </c>
      <c r="L130">
        <v>0.28000000000000003</v>
      </c>
      <c r="M130">
        <v>9300</v>
      </c>
      <c r="N130" t="str">
        <f>TEXT(Table1[[#This Row],[Order_Date]],"mmm")</f>
        <v>Apr</v>
      </c>
      <c r="O130">
        <f>YEAR(Table1[[#This Row],[Order_Date]])</f>
        <v>2024</v>
      </c>
      <c r="P130">
        <f t="shared" ref="P130:P193" si="2">SUM(J:J)</f>
        <v>12121350</v>
      </c>
    </row>
    <row r="131" spans="1:16" hidden="1" x14ac:dyDescent="0.3">
      <c r="A131">
        <v>8130</v>
      </c>
      <c r="B131" s="6">
        <v>45382</v>
      </c>
      <c r="C131" t="s">
        <v>113</v>
      </c>
      <c r="D131" t="s">
        <v>14</v>
      </c>
      <c r="E131" t="s">
        <v>15</v>
      </c>
      <c r="F131" t="s">
        <v>16</v>
      </c>
      <c r="G131" t="s">
        <v>51</v>
      </c>
      <c r="H131" t="s">
        <v>18</v>
      </c>
      <c r="I131" t="s">
        <v>39</v>
      </c>
      <c r="J131">
        <v>15729</v>
      </c>
      <c r="K131">
        <v>5</v>
      </c>
      <c r="L131">
        <v>0.25</v>
      </c>
      <c r="M131">
        <v>3381</v>
      </c>
      <c r="N131" t="str">
        <f>TEXT(Table1[[#This Row],[Order_Date]],"mmm")</f>
        <v>Mar</v>
      </c>
      <c r="O131">
        <f>YEAR(Table1[[#This Row],[Order_Date]])</f>
        <v>2024</v>
      </c>
      <c r="P131">
        <f t="shared" si="2"/>
        <v>12121350</v>
      </c>
    </row>
    <row r="132" spans="1:16" hidden="1" x14ac:dyDescent="0.3">
      <c r="A132">
        <v>8131</v>
      </c>
      <c r="B132" s="6">
        <v>45354</v>
      </c>
      <c r="C132" t="s">
        <v>158</v>
      </c>
      <c r="D132" t="s">
        <v>14</v>
      </c>
      <c r="E132" t="s">
        <v>42</v>
      </c>
      <c r="F132" t="s">
        <v>43</v>
      </c>
      <c r="G132" t="s">
        <v>51</v>
      </c>
      <c r="H132" t="s">
        <v>44</v>
      </c>
      <c r="I132" t="s">
        <v>47</v>
      </c>
      <c r="J132">
        <v>52499</v>
      </c>
      <c r="K132">
        <v>15</v>
      </c>
      <c r="L132">
        <v>0.28000000000000003</v>
      </c>
      <c r="M132">
        <v>9399</v>
      </c>
      <c r="N132" t="str">
        <f>TEXT(Table1[[#This Row],[Order_Date]],"mmm")</f>
        <v>Mar</v>
      </c>
      <c r="O132">
        <f>YEAR(Table1[[#This Row],[Order_Date]])</f>
        <v>2024</v>
      </c>
      <c r="P132">
        <f t="shared" si="2"/>
        <v>12121350</v>
      </c>
    </row>
    <row r="133" spans="1:16" hidden="1" x14ac:dyDescent="0.3">
      <c r="A133">
        <v>8132</v>
      </c>
      <c r="B133" s="6">
        <v>45295</v>
      </c>
      <c r="C133" t="s">
        <v>160</v>
      </c>
      <c r="D133" t="s">
        <v>26</v>
      </c>
      <c r="E133" t="s">
        <v>70</v>
      </c>
      <c r="F133" t="s">
        <v>71</v>
      </c>
      <c r="G133" t="s">
        <v>51</v>
      </c>
      <c r="H133" t="s">
        <v>44</v>
      </c>
      <c r="I133" t="s">
        <v>45</v>
      </c>
      <c r="J133">
        <v>5800</v>
      </c>
      <c r="K133">
        <v>4</v>
      </c>
      <c r="L133">
        <v>0.25</v>
      </c>
      <c r="M133">
        <v>809</v>
      </c>
      <c r="N133" t="str">
        <f>TEXT(Table1[[#This Row],[Order_Date]],"mmm")</f>
        <v>Jan</v>
      </c>
      <c r="O133">
        <f>YEAR(Table1[[#This Row],[Order_Date]])</f>
        <v>2024</v>
      </c>
      <c r="P133">
        <f t="shared" si="2"/>
        <v>12121350</v>
      </c>
    </row>
    <row r="134" spans="1:16" hidden="1" x14ac:dyDescent="0.3">
      <c r="A134">
        <v>8133</v>
      </c>
      <c r="B134" s="6">
        <v>45398</v>
      </c>
      <c r="C134" t="s">
        <v>161</v>
      </c>
      <c r="D134" t="s">
        <v>26</v>
      </c>
      <c r="E134" t="s">
        <v>70</v>
      </c>
      <c r="F134" t="s">
        <v>71</v>
      </c>
      <c r="G134" t="s">
        <v>17</v>
      </c>
      <c r="H134" t="s">
        <v>22</v>
      </c>
      <c r="I134" t="s">
        <v>36</v>
      </c>
      <c r="J134">
        <v>8113</v>
      </c>
      <c r="K134">
        <v>8</v>
      </c>
      <c r="L134">
        <v>7.0000000000000007E-2</v>
      </c>
      <c r="M134">
        <v>1881</v>
      </c>
      <c r="N134" t="str">
        <f>TEXT(Table1[[#This Row],[Order_Date]],"mmm")</f>
        <v>Apr</v>
      </c>
      <c r="O134">
        <f>YEAR(Table1[[#This Row],[Order_Date]])</f>
        <v>2024</v>
      </c>
      <c r="P134">
        <f t="shared" si="2"/>
        <v>12121350</v>
      </c>
    </row>
    <row r="135" spans="1:16" hidden="1" x14ac:dyDescent="0.3">
      <c r="A135">
        <v>8134</v>
      </c>
      <c r="B135" s="6">
        <v>45420</v>
      </c>
      <c r="C135" t="s">
        <v>162</v>
      </c>
      <c r="D135" t="s">
        <v>33</v>
      </c>
      <c r="E135" t="s">
        <v>34</v>
      </c>
      <c r="F135" t="s">
        <v>35</v>
      </c>
      <c r="G135" t="s">
        <v>51</v>
      </c>
      <c r="H135" t="s">
        <v>18</v>
      </c>
      <c r="I135" t="s">
        <v>83</v>
      </c>
      <c r="J135">
        <v>5823</v>
      </c>
      <c r="K135">
        <v>19</v>
      </c>
      <c r="L135">
        <v>0.19</v>
      </c>
      <c r="M135">
        <v>1101</v>
      </c>
      <c r="N135" t="str">
        <f>TEXT(Table1[[#This Row],[Order_Date]],"mmm")</f>
        <v>May</v>
      </c>
      <c r="O135">
        <f>YEAR(Table1[[#This Row],[Order_Date]])</f>
        <v>2024</v>
      </c>
      <c r="P135">
        <f t="shared" si="2"/>
        <v>12121350</v>
      </c>
    </row>
    <row r="136" spans="1:16" hidden="1" x14ac:dyDescent="0.3">
      <c r="A136">
        <v>8135</v>
      </c>
      <c r="B136" s="6">
        <v>45393</v>
      </c>
      <c r="C136" t="s">
        <v>163</v>
      </c>
      <c r="D136" t="s">
        <v>14</v>
      </c>
      <c r="E136" t="s">
        <v>15</v>
      </c>
      <c r="F136" t="s">
        <v>16</v>
      </c>
      <c r="G136" t="s">
        <v>30</v>
      </c>
      <c r="H136" t="s">
        <v>18</v>
      </c>
      <c r="I136" t="s">
        <v>39</v>
      </c>
      <c r="J136">
        <v>1185</v>
      </c>
      <c r="K136">
        <v>12</v>
      </c>
      <c r="L136">
        <v>0.17</v>
      </c>
      <c r="M136">
        <v>227</v>
      </c>
      <c r="N136" t="str">
        <f>TEXT(Table1[[#This Row],[Order_Date]],"mmm")</f>
        <v>Apr</v>
      </c>
      <c r="O136">
        <f>YEAR(Table1[[#This Row],[Order_Date]])</f>
        <v>2024</v>
      </c>
      <c r="P136">
        <f t="shared" si="2"/>
        <v>12121350</v>
      </c>
    </row>
    <row r="137" spans="1:16" hidden="1" x14ac:dyDescent="0.3">
      <c r="A137">
        <v>8136</v>
      </c>
      <c r="B137" s="6">
        <v>45422</v>
      </c>
      <c r="C137" t="s">
        <v>135</v>
      </c>
      <c r="D137" t="s">
        <v>14</v>
      </c>
      <c r="E137" t="s">
        <v>15</v>
      </c>
      <c r="F137" t="s">
        <v>16</v>
      </c>
      <c r="G137" t="s">
        <v>51</v>
      </c>
      <c r="H137" t="s">
        <v>44</v>
      </c>
      <c r="I137" t="s">
        <v>45</v>
      </c>
      <c r="J137">
        <v>7282</v>
      </c>
      <c r="K137">
        <v>10</v>
      </c>
      <c r="L137">
        <v>0.25</v>
      </c>
      <c r="M137">
        <v>876</v>
      </c>
      <c r="N137" t="str">
        <f>TEXT(Table1[[#This Row],[Order_Date]],"mmm")</f>
        <v>May</v>
      </c>
      <c r="O137">
        <f>YEAR(Table1[[#This Row],[Order_Date]])</f>
        <v>2024</v>
      </c>
      <c r="P137">
        <f t="shared" si="2"/>
        <v>12121350</v>
      </c>
    </row>
    <row r="138" spans="1:16" hidden="1" x14ac:dyDescent="0.3">
      <c r="A138">
        <v>8137</v>
      </c>
      <c r="B138" s="6">
        <v>45304</v>
      </c>
      <c r="C138" t="s">
        <v>165</v>
      </c>
      <c r="D138" t="s">
        <v>26</v>
      </c>
      <c r="E138" t="s">
        <v>27</v>
      </c>
      <c r="F138" t="s">
        <v>28</v>
      </c>
      <c r="G138" t="s">
        <v>51</v>
      </c>
      <c r="H138" t="s">
        <v>18</v>
      </c>
      <c r="I138" t="s">
        <v>19</v>
      </c>
      <c r="J138">
        <v>52062</v>
      </c>
      <c r="K138">
        <v>15</v>
      </c>
      <c r="L138">
        <v>0.19</v>
      </c>
      <c r="M138">
        <v>5034</v>
      </c>
      <c r="N138" t="str">
        <f>TEXT(Table1[[#This Row],[Order_Date]],"mmm")</f>
        <v>Jan</v>
      </c>
      <c r="O138">
        <f>YEAR(Table1[[#This Row],[Order_Date]])</f>
        <v>2024</v>
      </c>
      <c r="P138">
        <f t="shared" si="2"/>
        <v>12121350</v>
      </c>
    </row>
    <row r="139" spans="1:16" hidden="1" x14ac:dyDescent="0.3">
      <c r="A139">
        <v>8138</v>
      </c>
      <c r="B139" s="6">
        <v>45379</v>
      </c>
      <c r="C139" t="s">
        <v>95</v>
      </c>
      <c r="D139" t="s">
        <v>26</v>
      </c>
      <c r="E139" t="s">
        <v>70</v>
      </c>
      <c r="F139" t="s">
        <v>71</v>
      </c>
      <c r="G139" t="s">
        <v>17</v>
      </c>
      <c r="H139" t="s">
        <v>44</v>
      </c>
      <c r="I139" t="s">
        <v>87</v>
      </c>
      <c r="J139">
        <v>16433</v>
      </c>
      <c r="K139">
        <v>19</v>
      </c>
      <c r="L139">
        <v>7.0000000000000007E-2</v>
      </c>
      <c r="M139">
        <v>3653</v>
      </c>
      <c r="N139" t="str">
        <f>TEXT(Table1[[#This Row],[Order_Date]],"mmm")</f>
        <v>Mar</v>
      </c>
      <c r="O139">
        <f>YEAR(Table1[[#This Row],[Order_Date]])</f>
        <v>2024</v>
      </c>
      <c r="P139">
        <f t="shared" si="2"/>
        <v>12121350</v>
      </c>
    </row>
    <row r="140" spans="1:16" hidden="1" x14ac:dyDescent="0.3">
      <c r="A140">
        <v>8139</v>
      </c>
      <c r="B140" s="6">
        <v>45421</v>
      </c>
      <c r="C140" t="s">
        <v>145</v>
      </c>
      <c r="D140" t="s">
        <v>14</v>
      </c>
      <c r="E140" t="s">
        <v>15</v>
      </c>
      <c r="F140" t="s">
        <v>16</v>
      </c>
      <c r="G140" t="s">
        <v>51</v>
      </c>
      <c r="H140" t="s">
        <v>22</v>
      </c>
      <c r="I140" t="s">
        <v>68</v>
      </c>
      <c r="J140">
        <v>19710</v>
      </c>
      <c r="K140">
        <v>5</v>
      </c>
      <c r="L140">
        <v>0.23</v>
      </c>
      <c r="M140">
        <v>4433</v>
      </c>
      <c r="N140" t="str">
        <f>TEXT(Table1[[#This Row],[Order_Date]],"mmm")</f>
        <v>May</v>
      </c>
      <c r="O140">
        <f>YEAR(Table1[[#This Row],[Order_Date]])</f>
        <v>2024</v>
      </c>
      <c r="P140">
        <f t="shared" si="2"/>
        <v>12121350</v>
      </c>
    </row>
    <row r="141" spans="1:16" hidden="1" x14ac:dyDescent="0.3">
      <c r="A141">
        <v>8140</v>
      </c>
      <c r="B141" s="6">
        <v>45334</v>
      </c>
      <c r="C141" t="s">
        <v>166</v>
      </c>
      <c r="D141" t="s">
        <v>26</v>
      </c>
      <c r="E141" t="s">
        <v>27</v>
      </c>
      <c r="F141" t="s">
        <v>28</v>
      </c>
      <c r="G141" t="s">
        <v>17</v>
      </c>
      <c r="H141" t="s">
        <v>44</v>
      </c>
      <c r="I141" t="s">
        <v>87</v>
      </c>
      <c r="J141">
        <v>20913</v>
      </c>
      <c r="K141">
        <v>1</v>
      </c>
      <c r="L141">
        <v>0.26</v>
      </c>
      <c r="M141">
        <v>3632</v>
      </c>
      <c r="N141" t="str">
        <f>TEXT(Table1[[#This Row],[Order_Date]],"mmm")</f>
        <v>Feb</v>
      </c>
      <c r="O141">
        <f>YEAR(Table1[[#This Row],[Order_Date]])</f>
        <v>2024</v>
      </c>
      <c r="P141">
        <f t="shared" si="2"/>
        <v>12121350</v>
      </c>
    </row>
    <row r="142" spans="1:16" hidden="1" x14ac:dyDescent="0.3">
      <c r="A142">
        <v>8141</v>
      </c>
      <c r="B142" s="6">
        <v>45315</v>
      </c>
      <c r="C142" t="s">
        <v>167</v>
      </c>
      <c r="D142" t="s">
        <v>33</v>
      </c>
      <c r="E142" t="s">
        <v>56</v>
      </c>
      <c r="F142" t="s">
        <v>57</v>
      </c>
      <c r="G142" t="s">
        <v>30</v>
      </c>
      <c r="H142" t="s">
        <v>22</v>
      </c>
      <c r="I142" t="s">
        <v>68</v>
      </c>
      <c r="J142">
        <v>58140</v>
      </c>
      <c r="K142">
        <v>17</v>
      </c>
      <c r="L142">
        <v>0.08</v>
      </c>
      <c r="M142">
        <v>5223</v>
      </c>
      <c r="N142" t="str">
        <f>TEXT(Table1[[#This Row],[Order_Date]],"mmm")</f>
        <v>Jan</v>
      </c>
      <c r="O142">
        <f>YEAR(Table1[[#This Row],[Order_Date]])</f>
        <v>2024</v>
      </c>
      <c r="P142">
        <f t="shared" si="2"/>
        <v>12121350</v>
      </c>
    </row>
    <row r="143" spans="1:16" hidden="1" x14ac:dyDescent="0.3">
      <c r="A143">
        <v>8142</v>
      </c>
      <c r="B143" s="6">
        <v>45406</v>
      </c>
      <c r="C143" t="s">
        <v>157</v>
      </c>
      <c r="D143" t="s">
        <v>14</v>
      </c>
      <c r="E143" t="s">
        <v>15</v>
      </c>
      <c r="F143" t="s">
        <v>16</v>
      </c>
      <c r="G143" t="s">
        <v>51</v>
      </c>
      <c r="H143" t="s">
        <v>22</v>
      </c>
      <c r="I143" t="s">
        <v>36</v>
      </c>
      <c r="J143">
        <v>12016</v>
      </c>
      <c r="K143">
        <v>12</v>
      </c>
      <c r="L143">
        <v>0.25</v>
      </c>
      <c r="M143">
        <v>1018</v>
      </c>
      <c r="N143" t="str">
        <f>TEXT(Table1[[#This Row],[Order_Date]],"mmm")</f>
        <v>Apr</v>
      </c>
      <c r="O143">
        <f>YEAR(Table1[[#This Row],[Order_Date]])</f>
        <v>2024</v>
      </c>
      <c r="P143">
        <f t="shared" si="2"/>
        <v>12121350</v>
      </c>
    </row>
    <row r="144" spans="1:16" hidden="1" x14ac:dyDescent="0.3">
      <c r="A144">
        <v>8143</v>
      </c>
      <c r="B144" s="6">
        <v>45470</v>
      </c>
      <c r="C144" t="s">
        <v>20</v>
      </c>
      <c r="D144" t="s">
        <v>49</v>
      </c>
      <c r="E144" t="s">
        <v>66</v>
      </c>
      <c r="F144" t="s">
        <v>67</v>
      </c>
      <c r="G144" t="s">
        <v>17</v>
      </c>
      <c r="H144" t="s">
        <v>44</v>
      </c>
      <c r="I144" t="s">
        <v>47</v>
      </c>
      <c r="J144">
        <v>49526</v>
      </c>
      <c r="K144">
        <v>17</v>
      </c>
      <c r="L144">
        <v>0.17</v>
      </c>
      <c r="M144">
        <v>2779</v>
      </c>
      <c r="N144" t="str">
        <f>TEXT(Table1[[#This Row],[Order_Date]],"mmm")</f>
        <v>Jun</v>
      </c>
      <c r="O144">
        <f>YEAR(Table1[[#This Row],[Order_Date]])</f>
        <v>2024</v>
      </c>
      <c r="P144">
        <f t="shared" si="2"/>
        <v>12121350</v>
      </c>
    </row>
    <row r="145" spans="1:16" hidden="1" x14ac:dyDescent="0.3">
      <c r="A145">
        <v>8144</v>
      </c>
      <c r="B145" s="6">
        <v>45453</v>
      </c>
      <c r="C145" t="s">
        <v>168</v>
      </c>
      <c r="D145" t="s">
        <v>14</v>
      </c>
      <c r="E145" t="s">
        <v>15</v>
      </c>
      <c r="F145" t="s">
        <v>16</v>
      </c>
      <c r="G145" t="s">
        <v>17</v>
      </c>
      <c r="H145" t="s">
        <v>22</v>
      </c>
      <c r="I145" t="s">
        <v>36</v>
      </c>
      <c r="J145">
        <v>8618</v>
      </c>
      <c r="K145">
        <v>18</v>
      </c>
      <c r="L145">
        <v>0.14000000000000001</v>
      </c>
      <c r="M145">
        <v>443</v>
      </c>
      <c r="N145" t="str">
        <f>TEXT(Table1[[#This Row],[Order_Date]],"mmm")</f>
        <v>Jun</v>
      </c>
      <c r="O145">
        <f>YEAR(Table1[[#This Row],[Order_Date]])</f>
        <v>2024</v>
      </c>
      <c r="P145">
        <f t="shared" si="2"/>
        <v>12121350</v>
      </c>
    </row>
    <row r="146" spans="1:16" hidden="1" x14ac:dyDescent="0.3">
      <c r="A146">
        <v>8145</v>
      </c>
      <c r="B146" s="6">
        <v>45355</v>
      </c>
      <c r="C146" t="s">
        <v>103</v>
      </c>
      <c r="D146" t="s">
        <v>14</v>
      </c>
      <c r="E146" t="s">
        <v>15</v>
      </c>
      <c r="F146" t="s">
        <v>16</v>
      </c>
      <c r="G146" t="s">
        <v>30</v>
      </c>
      <c r="H146" t="s">
        <v>44</v>
      </c>
      <c r="I146" t="s">
        <v>47</v>
      </c>
      <c r="J146">
        <v>52844</v>
      </c>
      <c r="K146">
        <v>3</v>
      </c>
      <c r="L146">
        <v>0.04</v>
      </c>
      <c r="M146">
        <v>7553</v>
      </c>
      <c r="N146" t="str">
        <f>TEXT(Table1[[#This Row],[Order_Date]],"mmm")</f>
        <v>Mar</v>
      </c>
      <c r="O146">
        <f>YEAR(Table1[[#This Row],[Order_Date]])</f>
        <v>2024</v>
      </c>
      <c r="P146">
        <f t="shared" si="2"/>
        <v>12121350</v>
      </c>
    </row>
    <row r="147" spans="1:16" hidden="1" x14ac:dyDescent="0.3">
      <c r="A147">
        <v>8146</v>
      </c>
      <c r="B147" s="6">
        <v>45443</v>
      </c>
      <c r="C147" t="s">
        <v>169</v>
      </c>
      <c r="D147" t="s">
        <v>49</v>
      </c>
      <c r="E147" t="s">
        <v>66</v>
      </c>
      <c r="F147" t="s">
        <v>67</v>
      </c>
      <c r="G147" t="s">
        <v>30</v>
      </c>
      <c r="H147" t="s">
        <v>22</v>
      </c>
      <c r="I147" t="s">
        <v>36</v>
      </c>
      <c r="J147">
        <v>4450</v>
      </c>
      <c r="K147">
        <v>11</v>
      </c>
      <c r="L147">
        <v>0.09</v>
      </c>
      <c r="M147">
        <v>327</v>
      </c>
      <c r="N147" t="str">
        <f>TEXT(Table1[[#This Row],[Order_Date]],"mmm")</f>
        <v>May</v>
      </c>
      <c r="O147">
        <f>YEAR(Table1[[#This Row],[Order_Date]])</f>
        <v>2024</v>
      </c>
      <c r="P147">
        <f t="shared" si="2"/>
        <v>12121350</v>
      </c>
    </row>
    <row r="148" spans="1:16" hidden="1" x14ac:dyDescent="0.3">
      <c r="A148">
        <v>8147</v>
      </c>
      <c r="B148" s="6">
        <v>45334</v>
      </c>
      <c r="C148" t="s">
        <v>141</v>
      </c>
      <c r="D148" t="s">
        <v>26</v>
      </c>
      <c r="E148" t="s">
        <v>70</v>
      </c>
      <c r="F148" t="s">
        <v>71</v>
      </c>
      <c r="G148" t="s">
        <v>51</v>
      </c>
      <c r="H148" t="s">
        <v>22</v>
      </c>
      <c r="I148" t="s">
        <v>68</v>
      </c>
      <c r="J148">
        <v>41204</v>
      </c>
      <c r="K148">
        <v>1</v>
      </c>
      <c r="L148">
        <v>0.19</v>
      </c>
      <c r="M148">
        <v>8541</v>
      </c>
      <c r="N148" t="str">
        <f>TEXT(Table1[[#This Row],[Order_Date]],"mmm")</f>
        <v>Feb</v>
      </c>
      <c r="O148">
        <f>YEAR(Table1[[#This Row],[Order_Date]])</f>
        <v>2024</v>
      </c>
      <c r="P148">
        <f t="shared" si="2"/>
        <v>12121350</v>
      </c>
    </row>
    <row r="149" spans="1:16" hidden="1" x14ac:dyDescent="0.3">
      <c r="A149">
        <v>8148</v>
      </c>
      <c r="B149" s="6">
        <v>45429</v>
      </c>
      <c r="C149" t="s">
        <v>86</v>
      </c>
      <c r="D149" t="s">
        <v>14</v>
      </c>
      <c r="E149" t="s">
        <v>42</v>
      </c>
      <c r="F149" t="s">
        <v>43</v>
      </c>
      <c r="G149" t="s">
        <v>51</v>
      </c>
      <c r="H149" t="s">
        <v>18</v>
      </c>
      <c r="I149" t="s">
        <v>83</v>
      </c>
      <c r="J149">
        <v>75597</v>
      </c>
      <c r="K149">
        <v>1</v>
      </c>
      <c r="L149">
        <v>0.14000000000000001</v>
      </c>
      <c r="M149">
        <v>6283</v>
      </c>
      <c r="N149" t="str">
        <f>TEXT(Table1[[#This Row],[Order_Date]],"mmm")</f>
        <v>May</v>
      </c>
      <c r="O149">
        <f>YEAR(Table1[[#This Row],[Order_Date]])</f>
        <v>2024</v>
      </c>
      <c r="P149">
        <f t="shared" si="2"/>
        <v>12121350</v>
      </c>
    </row>
    <row r="150" spans="1:16" hidden="1" x14ac:dyDescent="0.3">
      <c r="A150">
        <v>8149</v>
      </c>
      <c r="B150" s="6">
        <v>45340</v>
      </c>
      <c r="C150" t="s">
        <v>123</v>
      </c>
      <c r="D150" t="s">
        <v>49</v>
      </c>
      <c r="E150" t="s">
        <v>66</v>
      </c>
      <c r="F150" t="s">
        <v>67</v>
      </c>
      <c r="G150" t="s">
        <v>30</v>
      </c>
      <c r="H150" t="s">
        <v>18</v>
      </c>
      <c r="I150" t="s">
        <v>83</v>
      </c>
      <c r="J150">
        <v>72437</v>
      </c>
      <c r="K150">
        <v>16</v>
      </c>
      <c r="L150">
        <v>0.23</v>
      </c>
      <c r="M150">
        <v>8924</v>
      </c>
      <c r="N150" t="str">
        <f>TEXT(Table1[[#This Row],[Order_Date]],"mmm")</f>
        <v>Feb</v>
      </c>
      <c r="O150">
        <f>YEAR(Table1[[#This Row],[Order_Date]])</f>
        <v>2024</v>
      </c>
      <c r="P150">
        <f t="shared" si="2"/>
        <v>12121350</v>
      </c>
    </row>
    <row r="151" spans="1:16" hidden="1" x14ac:dyDescent="0.3">
      <c r="A151">
        <v>8150</v>
      </c>
      <c r="B151" s="6">
        <v>45294</v>
      </c>
      <c r="C151" t="s">
        <v>60</v>
      </c>
      <c r="D151" t="s">
        <v>33</v>
      </c>
      <c r="E151" t="s">
        <v>34</v>
      </c>
      <c r="F151" t="s">
        <v>35</v>
      </c>
      <c r="G151" t="s">
        <v>17</v>
      </c>
      <c r="H151" t="s">
        <v>22</v>
      </c>
      <c r="I151" t="s">
        <v>68</v>
      </c>
      <c r="J151">
        <v>2044</v>
      </c>
      <c r="K151">
        <v>19</v>
      </c>
      <c r="L151">
        <v>0.18</v>
      </c>
      <c r="M151">
        <v>223</v>
      </c>
      <c r="N151" t="str">
        <f>TEXT(Table1[[#This Row],[Order_Date]],"mmm")</f>
        <v>Jan</v>
      </c>
      <c r="O151">
        <f>YEAR(Table1[[#This Row],[Order_Date]])</f>
        <v>2024</v>
      </c>
      <c r="P151">
        <f t="shared" si="2"/>
        <v>12121350</v>
      </c>
    </row>
    <row r="152" spans="1:16" hidden="1" x14ac:dyDescent="0.3">
      <c r="A152">
        <v>8151</v>
      </c>
      <c r="B152" s="6">
        <v>45389</v>
      </c>
      <c r="C152" t="s">
        <v>170</v>
      </c>
      <c r="D152" t="s">
        <v>49</v>
      </c>
      <c r="E152" t="s">
        <v>50</v>
      </c>
      <c r="F152" t="s">
        <v>50</v>
      </c>
      <c r="G152" t="s">
        <v>30</v>
      </c>
      <c r="H152" t="s">
        <v>44</v>
      </c>
      <c r="I152" t="s">
        <v>87</v>
      </c>
      <c r="J152">
        <v>65667</v>
      </c>
      <c r="K152">
        <v>12</v>
      </c>
      <c r="L152">
        <v>0.25</v>
      </c>
      <c r="M152">
        <v>13053</v>
      </c>
      <c r="N152" t="str">
        <f>TEXT(Table1[[#This Row],[Order_Date]],"mmm")</f>
        <v>Apr</v>
      </c>
      <c r="O152">
        <f>YEAR(Table1[[#This Row],[Order_Date]])</f>
        <v>2024</v>
      </c>
      <c r="P152">
        <f t="shared" si="2"/>
        <v>12121350</v>
      </c>
    </row>
    <row r="153" spans="1:16" hidden="1" x14ac:dyDescent="0.3">
      <c r="A153">
        <v>8152</v>
      </c>
      <c r="B153" s="6">
        <v>45340</v>
      </c>
      <c r="C153" t="s">
        <v>91</v>
      </c>
      <c r="D153" t="s">
        <v>33</v>
      </c>
      <c r="E153" t="s">
        <v>34</v>
      </c>
      <c r="F153" t="s">
        <v>35</v>
      </c>
      <c r="G153" t="s">
        <v>30</v>
      </c>
      <c r="H153" t="s">
        <v>18</v>
      </c>
      <c r="I153" t="s">
        <v>19</v>
      </c>
      <c r="J153">
        <v>67243</v>
      </c>
      <c r="K153">
        <v>3</v>
      </c>
      <c r="L153">
        <v>0.14000000000000001</v>
      </c>
      <c r="M153">
        <v>4064</v>
      </c>
      <c r="N153" t="str">
        <f>TEXT(Table1[[#This Row],[Order_Date]],"mmm")</f>
        <v>Feb</v>
      </c>
      <c r="O153">
        <f>YEAR(Table1[[#This Row],[Order_Date]])</f>
        <v>2024</v>
      </c>
      <c r="P153">
        <f t="shared" si="2"/>
        <v>12121350</v>
      </c>
    </row>
    <row r="154" spans="1:16" hidden="1" x14ac:dyDescent="0.3">
      <c r="A154">
        <v>8153</v>
      </c>
      <c r="B154" s="6">
        <v>45422</v>
      </c>
      <c r="C154" t="s">
        <v>150</v>
      </c>
      <c r="D154" t="s">
        <v>49</v>
      </c>
      <c r="E154" t="s">
        <v>66</v>
      </c>
      <c r="F154" t="s">
        <v>67</v>
      </c>
      <c r="G154" t="s">
        <v>30</v>
      </c>
      <c r="H154" t="s">
        <v>22</v>
      </c>
      <c r="I154" t="s">
        <v>36</v>
      </c>
      <c r="J154">
        <v>76078</v>
      </c>
      <c r="K154">
        <v>15</v>
      </c>
      <c r="L154">
        <v>0.28000000000000003</v>
      </c>
      <c r="M154">
        <v>5547</v>
      </c>
      <c r="N154" t="str">
        <f>TEXT(Table1[[#This Row],[Order_Date]],"mmm")</f>
        <v>May</v>
      </c>
      <c r="O154">
        <f>YEAR(Table1[[#This Row],[Order_Date]])</f>
        <v>2024</v>
      </c>
      <c r="P154">
        <f t="shared" si="2"/>
        <v>12121350</v>
      </c>
    </row>
    <row r="155" spans="1:16" x14ac:dyDescent="0.3">
      <c r="A155">
        <v>8154</v>
      </c>
      <c r="B155" s="6">
        <v>45452</v>
      </c>
      <c r="C155" t="s">
        <v>146</v>
      </c>
      <c r="D155" t="s">
        <v>26</v>
      </c>
      <c r="E155" t="s">
        <v>27</v>
      </c>
      <c r="F155" t="s">
        <v>28</v>
      </c>
      <c r="G155" t="s">
        <v>30</v>
      </c>
      <c r="H155" t="s">
        <v>22</v>
      </c>
      <c r="I155" t="s">
        <v>23</v>
      </c>
      <c r="J155">
        <v>64605</v>
      </c>
      <c r="K155">
        <v>10</v>
      </c>
      <c r="L155">
        <v>0.11</v>
      </c>
      <c r="M155">
        <v>3802</v>
      </c>
      <c r="N155" t="str">
        <f>TEXT(Table1[[#This Row],[Order_Date]],"mmm")</f>
        <v>Jun</v>
      </c>
      <c r="O155">
        <f>YEAR(Table1[[#This Row],[Order_Date]])</f>
        <v>2024</v>
      </c>
      <c r="P155">
        <f t="shared" si="2"/>
        <v>12121350</v>
      </c>
    </row>
    <row r="156" spans="1:16" hidden="1" x14ac:dyDescent="0.3">
      <c r="A156">
        <v>8155</v>
      </c>
      <c r="B156" s="6">
        <v>45422</v>
      </c>
      <c r="C156" t="s">
        <v>106</v>
      </c>
      <c r="D156" t="s">
        <v>33</v>
      </c>
      <c r="E156" t="s">
        <v>34</v>
      </c>
      <c r="F156" t="s">
        <v>35</v>
      </c>
      <c r="G156" t="s">
        <v>17</v>
      </c>
      <c r="H156" t="s">
        <v>22</v>
      </c>
      <c r="I156" t="s">
        <v>36</v>
      </c>
      <c r="J156">
        <v>46208</v>
      </c>
      <c r="K156">
        <v>19</v>
      </c>
      <c r="L156">
        <v>0.11</v>
      </c>
      <c r="M156">
        <v>11323</v>
      </c>
      <c r="N156" t="str">
        <f>TEXT(Table1[[#This Row],[Order_Date]],"mmm")</f>
        <v>May</v>
      </c>
      <c r="O156">
        <f>YEAR(Table1[[#This Row],[Order_Date]])</f>
        <v>2024</v>
      </c>
      <c r="P156">
        <f t="shared" si="2"/>
        <v>12121350</v>
      </c>
    </row>
    <row r="157" spans="1:16" x14ac:dyDescent="0.3">
      <c r="A157">
        <v>8156</v>
      </c>
      <c r="B157" s="6">
        <v>45292</v>
      </c>
      <c r="C157" t="s">
        <v>159</v>
      </c>
      <c r="D157" t="s">
        <v>26</v>
      </c>
      <c r="E157" t="s">
        <v>70</v>
      </c>
      <c r="F157" t="s">
        <v>71</v>
      </c>
      <c r="G157" t="s">
        <v>30</v>
      </c>
      <c r="H157" t="s">
        <v>44</v>
      </c>
      <c r="I157" t="s">
        <v>47</v>
      </c>
      <c r="J157">
        <v>71671</v>
      </c>
      <c r="K157">
        <v>15</v>
      </c>
      <c r="L157">
        <v>0.08</v>
      </c>
      <c r="M157">
        <v>6778</v>
      </c>
      <c r="N157" t="str">
        <f>TEXT(Table1[[#This Row],[Order_Date]],"mmm")</f>
        <v>Jan</v>
      </c>
      <c r="O157">
        <f>YEAR(Table1[[#This Row],[Order_Date]])</f>
        <v>2024</v>
      </c>
      <c r="P157">
        <f t="shared" si="2"/>
        <v>12121350</v>
      </c>
    </row>
    <row r="158" spans="1:16" hidden="1" x14ac:dyDescent="0.3">
      <c r="A158">
        <v>8157</v>
      </c>
      <c r="B158" s="6">
        <v>45314</v>
      </c>
      <c r="C158" t="s">
        <v>171</v>
      </c>
      <c r="D158" t="s">
        <v>14</v>
      </c>
      <c r="E158" t="s">
        <v>42</v>
      </c>
      <c r="F158" t="s">
        <v>43</v>
      </c>
      <c r="G158" t="s">
        <v>51</v>
      </c>
      <c r="H158" t="s">
        <v>22</v>
      </c>
      <c r="I158" t="s">
        <v>23</v>
      </c>
      <c r="J158">
        <v>35949</v>
      </c>
      <c r="K158">
        <v>9</v>
      </c>
      <c r="L158">
        <v>0.04</v>
      </c>
      <c r="M158">
        <v>5385</v>
      </c>
      <c r="N158" t="str">
        <f>TEXT(Table1[[#This Row],[Order_Date]],"mmm")</f>
        <v>Jan</v>
      </c>
      <c r="O158">
        <f>YEAR(Table1[[#This Row],[Order_Date]])</f>
        <v>2024</v>
      </c>
      <c r="P158">
        <f t="shared" si="2"/>
        <v>12121350</v>
      </c>
    </row>
    <row r="159" spans="1:16" hidden="1" x14ac:dyDescent="0.3">
      <c r="A159">
        <v>8158</v>
      </c>
      <c r="B159" s="6">
        <v>45425</v>
      </c>
      <c r="C159" t="s">
        <v>172</v>
      </c>
      <c r="D159" t="s">
        <v>49</v>
      </c>
      <c r="E159" t="s">
        <v>66</v>
      </c>
      <c r="F159" t="s">
        <v>67</v>
      </c>
      <c r="G159" t="s">
        <v>51</v>
      </c>
      <c r="H159" t="s">
        <v>44</v>
      </c>
      <c r="I159" t="s">
        <v>45</v>
      </c>
      <c r="J159">
        <v>40368</v>
      </c>
      <c r="K159">
        <v>11</v>
      </c>
      <c r="L159">
        <v>0.22</v>
      </c>
      <c r="M159">
        <v>2083</v>
      </c>
      <c r="N159" t="str">
        <f>TEXT(Table1[[#This Row],[Order_Date]],"mmm")</f>
        <v>May</v>
      </c>
      <c r="O159">
        <f>YEAR(Table1[[#This Row],[Order_Date]])</f>
        <v>2024</v>
      </c>
      <c r="P159">
        <f t="shared" si="2"/>
        <v>12121350</v>
      </c>
    </row>
    <row r="160" spans="1:16" hidden="1" x14ac:dyDescent="0.3">
      <c r="A160">
        <v>8159</v>
      </c>
      <c r="B160" s="6">
        <v>45322</v>
      </c>
      <c r="C160" t="s">
        <v>82</v>
      </c>
      <c r="D160" t="s">
        <v>33</v>
      </c>
      <c r="E160" t="s">
        <v>56</v>
      </c>
      <c r="F160" t="s">
        <v>57</v>
      </c>
      <c r="G160" t="s">
        <v>30</v>
      </c>
      <c r="H160" t="s">
        <v>22</v>
      </c>
      <c r="I160" t="s">
        <v>36</v>
      </c>
      <c r="J160">
        <v>20645</v>
      </c>
      <c r="K160">
        <v>14</v>
      </c>
      <c r="L160">
        <v>0.27</v>
      </c>
      <c r="M160">
        <v>4898</v>
      </c>
      <c r="N160" t="str">
        <f>TEXT(Table1[[#This Row],[Order_Date]],"mmm")</f>
        <v>Jan</v>
      </c>
      <c r="O160">
        <f>YEAR(Table1[[#This Row],[Order_Date]])</f>
        <v>2024</v>
      </c>
      <c r="P160">
        <f t="shared" si="2"/>
        <v>12121350</v>
      </c>
    </row>
    <row r="161" spans="1:16" x14ac:dyDescent="0.3">
      <c r="A161">
        <v>8160</v>
      </c>
      <c r="B161" s="6">
        <v>45325</v>
      </c>
      <c r="C161" t="s">
        <v>131</v>
      </c>
      <c r="D161" t="s">
        <v>26</v>
      </c>
      <c r="E161" t="s">
        <v>27</v>
      </c>
      <c r="F161" t="s">
        <v>28</v>
      </c>
      <c r="G161" t="s">
        <v>30</v>
      </c>
      <c r="H161" t="s">
        <v>22</v>
      </c>
      <c r="I161" t="s">
        <v>68</v>
      </c>
      <c r="J161">
        <v>54634</v>
      </c>
      <c r="K161">
        <v>10</v>
      </c>
      <c r="L161">
        <v>0.01</v>
      </c>
      <c r="M161">
        <v>5125</v>
      </c>
      <c r="N161" t="str">
        <f>TEXT(Table1[[#This Row],[Order_Date]],"mmm")</f>
        <v>Feb</v>
      </c>
      <c r="O161">
        <f>YEAR(Table1[[#This Row],[Order_Date]])</f>
        <v>2024</v>
      </c>
      <c r="P161">
        <f t="shared" si="2"/>
        <v>12121350</v>
      </c>
    </row>
    <row r="162" spans="1:16" hidden="1" x14ac:dyDescent="0.3">
      <c r="A162">
        <v>8161</v>
      </c>
      <c r="B162" s="6">
        <v>45328</v>
      </c>
      <c r="C162" t="s">
        <v>153</v>
      </c>
      <c r="D162" t="s">
        <v>26</v>
      </c>
      <c r="E162" t="s">
        <v>70</v>
      </c>
      <c r="F162" t="s">
        <v>71</v>
      </c>
      <c r="G162" t="s">
        <v>51</v>
      </c>
      <c r="H162" t="s">
        <v>22</v>
      </c>
      <c r="I162" t="s">
        <v>23</v>
      </c>
      <c r="J162">
        <v>46292</v>
      </c>
      <c r="K162">
        <v>4</v>
      </c>
      <c r="L162">
        <v>0.04</v>
      </c>
      <c r="M162">
        <v>8874</v>
      </c>
      <c r="N162" t="str">
        <f>TEXT(Table1[[#This Row],[Order_Date]],"mmm")</f>
        <v>Feb</v>
      </c>
      <c r="O162">
        <f>YEAR(Table1[[#This Row],[Order_Date]])</f>
        <v>2024</v>
      </c>
      <c r="P162">
        <f t="shared" si="2"/>
        <v>12121350</v>
      </c>
    </row>
    <row r="163" spans="1:16" hidden="1" x14ac:dyDescent="0.3">
      <c r="A163">
        <v>8162</v>
      </c>
      <c r="B163" s="6">
        <v>45308</v>
      </c>
      <c r="C163" t="s">
        <v>174</v>
      </c>
      <c r="D163" t="s">
        <v>14</v>
      </c>
      <c r="E163" t="s">
        <v>15</v>
      </c>
      <c r="F163" t="s">
        <v>16</v>
      </c>
      <c r="G163" t="s">
        <v>51</v>
      </c>
      <c r="H163" t="s">
        <v>18</v>
      </c>
      <c r="I163" t="s">
        <v>83</v>
      </c>
      <c r="J163">
        <v>2026</v>
      </c>
      <c r="K163">
        <v>14</v>
      </c>
      <c r="L163">
        <v>0.23</v>
      </c>
      <c r="M163">
        <v>298</v>
      </c>
      <c r="N163" t="str">
        <f>TEXT(Table1[[#This Row],[Order_Date]],"mmm")</f>
        <v>Jan</v>
      </c>
      <c r="O163">
        <f>YEAR(Table1[[#This Row],[Order_Date]])</f>
        <v>2024</v>
      </c>
      <c r="P163">
        <f t="shared" si="2"/>
        <v>12121350</v>
      </c>
    </row>
    <row r="164" spans="1:16" hidden="1" x14ac:dyDescent="0.3">
      <c r="A164">
        <v>8163</v>
      </c>
      <c r="B164" s="6">
        <v>45430</v>
      </c>
      <c r="C164" t="s">
        <v>175</v>
      </c>
      <c r="D164" t="s">
        <v>33</v>
      </c>
      <c r="E164" t="s">
        <v>56</v>
      </c>
      <c r="F164" t="s">
        <v>57</v>
      </c>
      <c r="G164" t="s">
        <v>51</v>
      </c>
      <c r="H164" t="s">
        <v>18</v>
      </c>
      <c r="I164" t="s">
        <v>83</v>
      </c>
      <c r="J164">
        <v>72894</v>
      </c>
      <c r="K164">
        <v>20</v>
      </c>
      <c r="L164">
        <v>0.04</v>
      </c>
      <c r="M164">
        <v>13203</v>
      </c>
      <c r="N164" t="str">
        <f>TEXT(Table1[[#This Row],[Order_Date]],"mmm")</f>
        <v>May</v>
      </c>
      <c r="O164">
        <f>YEAR(Table1[[#This Row],[Order_Date]])</f>
        <v>2024</v>
      </c>
      <c r="P164">
        <f t="shared" si="2"/>
        <v>12121350</v>
      </c>
    </row>
    <row r="165" spans="1:16" hidden="1" x14ac:dyDescent="0.3">
      <c r="A165">
        <v>8164</v>
      </c>
      <c r="B165" s="6">
        <v>45436</v>
      </c>
      <c r="C165" t="s">
        <v>176</v>
      </c>
      <c r="D165" t="s">
        <v>14</v>
      </c>
      <c r="E165" t="s">
        <v>42</v>
      </c>
      <c r="F165" t="s">
        <v>43</v>
      </c>
      <c r="G165" t="s">
        <v>30</v>
      </c>
      <c r="H165" t="s">
        <v>22</v>
      </c>
      <c r="I165" t="s">
        <v>36</v>
      </c>
      <c r="J165">
        <v>5556</v>
      </c>
      <c r="K165">
        <v>10</v>
      </c>
      <c r="L165">
        <v>0.3</v>
      </c>
      <c r="M165">
        <v>401</v>
      </c>
      <c r="N165" t="str">
        <f>TEXT(Table1[[#This Row],[Order_Date]],"mmm")</f>
        <v>May</v>
      </c>
      <c r="O165">
        <f>YEAR(Table1[[#This Row],[Order_Date]])</f>
        <v>2024</v>
      </c>
      <c r="P165">
        <f t="shared" si="2"/>
        <v>12121350</v>
      </c>
    </row>
    <row r="166" spans="1:16" hidden="1" x14ac:dyDescent="0.3">
      <c r="A166">
        <v>8165</v>
      </c>
      <c r="B166" s="6">
        <v>45457</v>
      </c>
      <c r="C166" t="s">
        <v>79</v>
      </c>
      <c r="D166" t="s">
        <v>14</v>
      </c>
      <c r="E166" t="s">
        <v>42</v>
      </c>
      <c r="F166" t="s">
        <v>43</v>
      </c>
      <c r="G166" t="s">
        <v>51</v>
      </c>
      <c r="H166" t="s">
        <v>22</v>
      </c>
      <c r="I166" t="s">
        <v>68</v>
      </c>
      <c r="J166">
        <v>24836</v>
      </c>
      <c r="K166">
        <v>9</v>
      </c>
      <c r="L166">
        <v>0.24</v>
      </c>
      <c r="M166">
        <v>2715</v>
      </c>
      <c r="N166" t="str">
        <f>TEXT(Table1[[#This Row],[Order_Date]],"mmm")</f>
        <v>Jun</v>
      </c>
      <c r="O166">
        <f>YEAR(Table1[[#This Row],[Order_Date]])</f>
        <v>2024</v>
      </c>
      <c r="P166">
        <f t="shared" si="2"/>
        <v>12121350</v>
      </c>
    </row>
    <row r="167" spans="1:16" hidden="1" x14ac:dyDescent="0.3">
      <c r="A167">
        <v>8166</v>
      </c>
      <c r="B167" s="6">
        <v>45369</v>
      </c>
      <c r="C167" t="s">
        <v>100</v>
      </c>
      <c r="D167" t="s">
        <v>33</v>
      </c>
      <c r="E167" t="s">
        <v>34</v>
      </c>
      <c r="F167" t="s">
        <v>35</v>
      </c>
      <c r="G167" t="s">
        <v>17</v>
      </c>
      <c r="H167" t="s">
        <v>22</v>
      </c>
      <c r="I167" t="s">
        <v>36</v>
      </c>
      <c r="J167">
        <v>37321</v>
      </c>
      <c r="K167">
        <v>12</v>
      </c>
      <c r="L167">
        <v>0.01</v>
      </c>
      <c r="M167">
        <v>4290</v>
      </c>
      <c r="N167" t="str">
        <f>TEXT(Table1[[#This Row],[Order_Date]],"mmm")</f>
        <v>Mar</v>
      </c>
      <c r="O167">
        <f>YEAR(Table1[[#This Row],[Order_Date]])</f>
        <v>2024</v>
      </c>
      <c r="P167">
        <f t="shared" si="2"/>
        <v>12121350</v>
      </c>
    </row>
    <row r="168" spans="1:16" hidden="1" x14ac:dyDescent="0.3">
      <c r="A168">
        <v>8167</v>
      </c>
      <c r="B168" s="6">
        <v>45301</v>
      </c>
      <c r="C168" t="s">
        <v>164</v>
      </c>
      <c r="D168" t="s">
        <v>49</v>
      </c>
      <c r="E168" t="s">
        <v>50</v>
      </c>
      <c r="F168" t="s">
        <v>50</v>
      </c>
      <c r="G168" t="s">
        <v>30</v>
      </c>
      <c r="H168" t="s">
        <v>18</v>
      </c>
      <c r="I168" t="s">
        <v>39</v>
      </c>
      <c r="J168">
        <v>36214</v>
      </c>
      <c r="K168">
        <v>1</v>
      </c>
      <c r="L168">
        <v>0.01</v>
      </c>
      <c r="M168">
        <v>7691</v>
      </c>
      <c r="N168" t="str">
        <f>TEXT(Table1[[#This Row],[Order_Date]],"mmm")</f>
        <v>Jan</v>
      </c>
      <c r="O168">
        <f>YEAR(Table1[[#This Row],[Order_Date]])</f>
        <v>2024</v>
      </c>
      <c r="P168">
        <f t="shared" si="2"/>
        <v>12121350</v>
      </c>
    </row>
    <row r="169" spans="1:16" hidden="1" x14ac:dyDescent="0.3">
      <c r="A169">
        <v>8168</v>
      </c>
      <c r="B169" s="6">
        <v>45451</v>
      </c>
      <c r="C169" t="s">
        <v>146</v>
      </c>
      <c r="D169" t="s">
        <v>33</v>
      </c>
      <c r="E169" t="s">
        <v>56</v>
      </c>
      <c r="F169" t="s">
        <v>57</v>
      </c>
      <c r="G169" t="s">
        <v>30</v>
      </c>
      <c r="H169" t="s">
        <v>22</v>
      </c>
      <c r="I169" t="s">
        <v>23</v>
      </c>
      <c r="J169">
        <v>56130</v>
      </c>
      <c r="K169">
        <v>9</v>
      </c>
      <c r="L169">
        <v>0.26</v>
      </c>
      <c r="M169">
        <v>13890</v>
      </c>
      <c r="N169" t="str">
        <f>TEXT(Table1[[#This Row],[Order_Date]],"mmm")</f>
        <v>Jun</v>
      </c>
      <c r="O169">
        <f>YEAR(Table1[[#This Row],[Order_Date]])</f>
        <v>2024</v>
      </c>
      <c r="P169">
        <f t="shared" si="2"/>
        <v>12121350</v>
      </c>
    </row>
    <row r="170" spans="1:16" hidden="1" x14ac:dyDescent="0.3">
      <c r="A170">
        <v>8169</v>
      </c>
      <c r="B170" s="6">
        <v>45394</v>
      </c>
      <c r="C170" t="s">
        <v>163</v>
      </c>
      <c r="D170" t="s">
        <v>49</v>
      </c>
      <c r="E170" t="s">
        <v>66</v>
      </c>
      <c r="F170" t="s">
        <v>67</v>
      </c>
      <c r="G170" t="s">
        <v>17</v>
      </c>
      <c r="H170" t="s">
        <v>22</v>
      </c>
      <c r="I170" t="s">
        <v>68</v>
      </c>
      <c r="J170">
        <v>12132</v>
      </c>
      <c r="K170">
        <v>5</v>
      </c>
      <c r="L170">
        <v>0.25</v>
      </c>
      <c r="M170">
        <v>1800</v>
      </c>
      <c r="N170" t="str">
        <f>TEXT(Table1[[#This Row],[Order_Date]],"mmm")</f>
        <v>Apr</v>
      </c>
      <c r="O170">
        <f>YEAR(Table1[[#This Row],[Order_Date]])</f>
        <v>2024</v>
      </c>
      <c r="P170">
        <f t="shared" si="2"/>
        <v>12121350</v>
      </c>
    </row>
    <row r="171" spans="1:16" hidden="1" x14ac:dyDescent="0.3">
      <c r="A171">
        <v>8170</v>
      </c>
      <c r="B171" s="6">
        <v>45312</v>
      </c>
      <c r="C171" t="s">
        <v>101</v>
      </c>
      <c r="D171" t="s">
        <v>26</v>
      </c>
      <c r="E171" t="s">
        <v>70</v>
      </c>
      <c r="F171" t="s">
        <v>71</v>
      </c>
      <c r="G171" t="s">
        <v>17</v>
      </c>
      <c r="H171" t="s">
        <v>22</v>
      </c>
      <c r="I171" t="s">
        <v>36</v>
      </c>
      <c r="J171">
        <v>66303</v>
      </c>
      <c r="K171">
        <v>1</v>
      </c>
      <c r="L171">
        <v>0.05</v>
      </c>
      <c r="M171">
        <v>9593</v>
      </c>
      <c r="N171" t="str">
        <f>TEXT(Table1[[#This Row],[Order_Date]],"mmm")</f>
        <v>Jan</v>
      </c>
      <c r="O171">
        <f>YEAR(Table1[[#This Row],[Order_Date]])</f>
        <v>2024</v>
      </c>
      <c r="P171">
        <f t="shared" si="2"/>
        <v>12121350</v>
      </c>
    </row>
    <row r="172" spans="1:16" hidden="1" x14ac:dyDescent="0.3">
      <c r="A172">
        <v>8171</v>
      </c>
      <c r="B172" s="6">
        <v>45414</v>
      </c>
      <c r="C172" t="s">
        <v>143</v>
      </c>
      <c r="D172" t="s">
        <v>33</v>
      </c>
      <c r="E172" t="s">
        <v>34</v>
      </c>
      <c r="F172" t="s">
        <v>35</v>
      </c>
      <c r="G172" t="s">
        <v>30</v>
      </c>
      <c r="H172" t="s">
        <v>18</v>
      </c>
      <c r="I172" t="s">
        <v>83</v>
      </c>
      <c r="J172">
        <v>46462</v>
      </c>
      <c r="K172">
        <v>12</v>
      </c>
      <c r="L172">
        <v>0.22</v>
      </c>
      <c r="M172">
        <v>6207</v>
      </c>
      <c r="N172" t="str">
        <f>TEXT(Table1[[#This Row],[Order_Date]],"mmm")</f>
        <v>May</v>
      </c>
      <c r="O172">
        <f>YEAR(Table1[[#This Row],[Order_Date]])</f>
        <v>2024</v>
      </c>
      <c r="P172">
        <f t="shared" si="2"/>
        <v>12121350</v>
      </c>
    </row>
    <row r="173" spans="1:16" hidden="1" x14ac:dyDescent="0.3">
      <c r="A173">
        <v>8172</v>
      </c>
      <c r="B173" s="6">
        <v>45412</v>
      </c>
      <c r="C173" t="s">
        <v>62</v>
      </c>
      <c r="D173" t="s">
        <v>14</v>
      </c>
      <c r="E173" t="s">
        <v>42</v>
      </c>
      <c r="F173" t="s">
        <v>43</v>
      </c>
      <c r="G173" t="s">
        <v>51</v>
      </c>
      <c r="H173" t="s">
        <v>18</v>
      </c>
      <c r="I173" t="s">
        <v>39</v>
      </c>
      <c r="J173">
        <v>64915</v>
      </c>
      <c r="K173">
        <v>7</v>
      </c>
      <c r="L173">
        <v>7.0000000000000007E-2</v>
      </c>
      <c r="M173">
        <v>6290</v>
      </c>
      <c r="N173" t="str">
        <f>TEXT(Table1[[#This Row],[Order_Date]],"mmm")</f>
        <v>Apr</v>
      </c>
      <c r="O173">
        <f>YEAR(Table1[[#This Row],[Order_Date]])</f>
        <v>2024</v>
      </c>
      <c r="P173">
        <f t="shared" si="2"/>
        <v>12121350</v>
      </c>
    </row>
    <row r="174" spans="1:16" hidden="1" x14ac:dyDescent="0.3">
      <c r="A174">
        <v>8173</v>
      </c>
      <c r="B174" s="6">
        <v>45395</v>
      </c>
      <c r="C174" t="s">
        <v>32</v>
      </c>
      <c r="D174" t="s">
        <v>26</v>
      </c>
      <c r="E174" t="s">
        <v>27</v>
      </c>
      <c r="F174" t="s">
        <v>28</v>
      </c>
      <c r="G174" t="s">
        <v>17</v>
      </c>
      <c r="H174" t="s">
        <v>22</v>
      </c>
      <c r="I174" t="s">
        <v>36</v>
      </c>
      <c r="J174">
        <v>74102</v>
      </c>
      <c r="K174">
        <v>7</v>
      </c>
      <c r="L174">
        <v>0.22</v>
      </c>
      <c r="M174">
        <v>12048</v>
      </c>
      <c r="N174" t="str">
        <f>TEXT(Table1[[#This Row],[Order_Date]],"mmm")</f>
        <v>Apr</v>
      </c>
      <c r="O174">
        <f>YEAR(Table1[[#This Row],[Order_Date]])</f>
        <v>2024</v>
      </c>
      <c r="P174">
        <f t="shared" si="2"/>
        <v>12121350</v>
      </c>
    </row>
    <row r="175" spans="1:16" hidden="1" x14ac:dyDescent="0.3">
      <c r="A175">
        <v>8174</v>
      </c>
      <c r="B175" s="6">
        <v>45405</v>
      </c>
      <c r="C175" t="s">
        <v>177</v>
      </c>
      <c r="D175" t="s">
        <v>26</v>
      </c>
      <c r="E175" t="s">
        <v>70</v>
      </c>
      <c r="F175" t="s">
        <v>71</v>
      </c>
      <c r="G175" t="s">
        <v>17</v>
      </c>
      <c r="H175" t="s">
        <v>44</v>
      </c>
      <c r="I175" t="s">
        <v>45</v>
      </c>
      <c r="J175">
        <v>50515</v>
      </c>
      <c r="K175">
        <v>18</v>
      </c>
      <c r="L175">
        <v>7.0000000000000007E-2</v>
      </c>
      <c r="M175">
        <v>8038</v>
      </c>
      <c r="N175" t="str">
        <f>TEXT(Table1[[#This Row],[Order_Date]],"mmm")</f>
        <v>Apr</v>
      </c>
      <c r="O175">
        <f>YEAR(Table1[[#This Row],[Order_Date]])</f>
        <v>2024</v>
      </c>
      <c r="P175">
        <f t="shared" si="2"/>
        <v>12121350</v>
      </c>
    </row>
    <row r="176" spans="1:16" hidden="1" x14ac:dyDescent="0.3">
      <c r="A176">
        <v>8175</v>
      </c>
      <c r="B176" s="6">
        <v>45411</v>
      </c>
      <c r="C176" t="s">
        <v>177</v>
      </c>
      <c r="D176" t="s">
        <v>26</v>
      </c>
      <c r="E176" t="s">
        <v>27</v>
      </c>
      <c r="F176" t="s">
        <v>28</v>
      </c>
      <c r="G176" t="s">
        <v>17</v>
      </c>
      <c r="H176" t="s">
        <v>44</v>
      </c>
      <c r="I176" t="s">
        <v>47</v>
      </c>
      <c r="J176">
        <v>9559</v>
      </c>
      <c r="K176">
        <v>19</v>
      </c>
      <c r="L176">
        <v>0.18</v>
      </c>
      <c r="M176">
        <v>2183</v>
      </c>
      <c r="N176" t="str">
        <f>TEXT(Table1[[#This Row],[Order_Date]],"mmm")</f>
        <v>Apr</v>
      </c>
      <c r="O176">
        <f>YEAR(Table1[[#This Row],[Order_Date]])</f>
        <v>2024</v>
      </c>
      <c r="P176">
        <f t="shared" si="2"/>
        <v>12121350</v>
      </c>
    </row>
    <row r="177" spans="1:16" hidden="1" x14ac:dyDescent="0.3">
      <c r="A177">
        <v>8176</v>
      </c>
      <c r="B177" s="6">
        <v>45414</v>
      </c>
      <c r="C177" t="s">
        <v>134</v>
      </c>
      <c r="D177" t="s">
        <v>33</v>
      </c>
      <c r="E177" t="s">
        <v>56</v>
      </c>
      <c r="F177" t="s">
        <v>57</v>
      </c>
      <c r="G177" t="s">
        <v>17</v>
      </c>
      <c r="H177" t="s">
        <v>22</v>
      </c>
      <c r="I177" t="s">
        <v>23</v>
      </c>
      <c r="J177">
        <v>1523</v>
      </c>
      <c r="K177">
        <v>16</v>
      </c>
      <c r="L177">
        <v>0.17</v>
      </c>
      <c r="M177">
        <v>273</v>
      </c>
      <c r="N177" t="str">
        <f>TEXT(Table1[[#This Row],[Order_Date]],"mmm")</f>
        <v>May</v>
      </c>
      <c r="O177">
        <f>YEAR(Table1[[#This Row],[Order_Date]])</f>
        <v>2024</v>
      </c>
      <c r="P177">
        <f t="shared" si="2"/>
        <v>12121350</v>
      </c>
    </row>
    <row r="178" spans="1:16" hidden="1" x14ac:dyDescent="0.3">
      <c r="A178">
        <v>8177</v>
      </c>
      <c r="B178" s="6">
        <v>45371</v>
      </c>
      <c r="C178" t="s">
        <v>178</v>
      </c>
      <c r="D178" t="s">
        <v>14</v>
      </c>
      <c r="E178" t="s">
        <v>42</v>
      </c>
      <c r="F178" t="s">
        <v>43</v>
      </c>
      <c r="G178" t="s">
        <v>17</v>
      </c>
      <c r="H178" t="s">
        <v>18</v>
      </c>
      <c r="I178" t="s">
        <v>19</v>
      </c>
      <c r="J178">
        <v>29788</v>
      </c>
      <c r="K178">
        <v>4</v>
      </c>
      <c r="L178">
        <v>7.0000000000000007E-2</v>
      </c>
      <c r="M178">
        <v>6141</v>
      </c>
      <c r="N178" t="str">
        <f>TEXT(Table1[[#This Row],[Order_Date]],"mmm")</f>
        <v>Mar</v>
      </c>
      <c r="O178">
        <f>YEAR(Table1[[#This Row],[Order_Date]])</f>
        <v>2024</v>
      </c>
      <c r="P178">
        <f t="shared" si="2"/>
        <v>12121350</v>
      </c>
    </row>
    <row r="179" spans="1:16" hidden="1" x14ac:dyDescent="0.3">
      <c r="A179">
        <v>8178</v>
      </c>
      <c r="B179" s="6">
        <v>45337</v>
      </c>
      <c r="C179" t="s">
        <v>29</v>
      </c>
      <c r="D179" t="s">
        <v>14</v>
      </c>
      <c r="E179" t="s">
        <v>42</v>
      </c>
      <c r="F179" t="s">
        <v>43</v>
      </c>
      <c r="G179" t="s">
        <v>30</v>
      </c>
      <c r="H179" t="s">
        <v>44</v>
      </c>
      <c r="I179" t="s">
        <v>87</v>
      </c>
      <c r="J179">
        <v>7309</v>
      </c>
      <c r="K179">
        <v>13</v>
      </c>
      <c r="L179">
        <v>7.0000000000000007E-2</v>
      </c>
      <c r="M179">
        <v>663</v>
      </c>
      <c r="N179" t="str">
        <f>TEXT(Table1[[#This Row],[Order_Date]],"mmm")</f>
        <v>Feb</v>
      </c>
      <c r="O179">
        <f>YEAR(Table1[[#This Row],[Order_Date]])</f>
        <v>2024</v>
      </c>
      <c r="P179">
        <f t="shared" si="2"/>
        <v>12121350</v>
      </c>
    </row>
    <row r="180" spans="1:16" hidden="1" x14ac:dyDescent="0.3">
      <c r="A180">
        <v>8179</v>
      </c>
      <c r="B180" s="6">
        <v>45385</v>
      </c>
      <c r="C180" t="s">
        <v>148</v>
      </c>
      <c r="D180" t="s">
        <v>33</v>
      </c>
      <c r="E180" t="s">
        <v>34</v>
      </c>
      <c r="F180" t="s">
        <v>35</v>
      </c>
      <c r="G180" t="s">
        <v>30</v>
      </c>
      <c r="H180" t="s">
        <v>22</v>
      </c>
      <c r="I180" t="s">
        <v>36</v>
      </c>
      <c r="J180">
        <v>73022</v>
      </c>
      <c r="K180">
        <v>14</v>
      </c>
      <c r="L180">
        <v>0.16</v>
      </c>
      <c r="M180">
        <v>11131</v>
      </c>
      <c r="N180" t="str">
        <f>TEXT(Table1[[#This Row],[Order_Date]],"mmm")</f>
        <v>Apr</v>
      </c>
      <c r="O180">
        <f>YEAR(Table1[[#This Row],[Order_Date]])</f>
        <v>2024</v>
      </c>
      <c r="P180">
        <f t="shared" si="2"/>
        <v>12121350</v>
      </c>
    </row>
    <row r="181" spans="1:16" hidden="1" x14ac:dyDescent="0.3">
      <c r="A181">
        <v>8180</v>
      </c>
      <c r="B181" s="6">
        <v>45299</v>
      </c>
      <c r="C181" t="s">
        <v>164</v>
      </c>
      <c r="D181" t="s">
        <v>33</v>
      </c>
      <c r="E181" t="s">
        <v>34</v>
      </c>
      <c r="F181" t="s">
        <v>35</v>
      </c>
      <c r="G181" t="s">
        <v>30</v>
      </c>
      <c r="H181" t="s">
        <v>18</v>
      </c>
      <c r="I181" t="s">
        <v>39</v>
      </c>
      <c r="J181">
        <v>11959</v>
      </c>
      <c r="K181">
        <v>20</v>
      </c>
      <c r="L181">
        <v>0.25</v>
      </c>
      <c r="M181">
        <v>2529</v>
      </c>
      <c r="N181" t="str">
        <f>TEXT(Table1[[#This Row],[Order_Date]],"mmm")</f>
        <v>Jan</v>
      </c>
      <c r="O181">
        <f>YEAR(Table1[[#This Row],[Order_Date]])</f>
        <v>2024</v>
      </c>
      <c r="P181">
        <f t="shared" si="2"/>
        <v>12121350</v>
      </c>
    </row>
    <row r="182" spans="1:16" hidden="1" x14ac:dyDescent="0.3">
      <c r="A182">
        <v>8181</v>
      </c>
      <c r="B182" s="6">
        <v>45365</v>
      </c>
      <c r="C182" t="s">
        <v>58</v>
      </c>
      <c r="D182" t="s">
        <v>33</v>
      </c>
      <c r="E182" t="s">
        <v>34</v>
      </c>
      <c r="F182" t="s">
        <v>35</v>
      </c>
      <c r="G182" t="s">
        <v>30</v>
      </c>
      <c r="H182" t="s">
        <v>44</v>
      </c>
      <c r="I182" t="s">
        <v>45</v>
      </c>
      <c r="J182">
        <v>13872</v>
      </c>
      <c r="K182">
        <v>10</v>
      </c>
      <c r="L182">
        <v>0.23</v>
      </c>
      <c r="M182">
        <v>1547</v>
      </c>
      <c r="N182" t="str">
        <f>TEXT(Table1[[#This Row],[Order_Date]],"mmm")</f>
        <v>Mar</v>
      </c>
      <c r="O182">
        <f>YEAR(Table1[[#This Row],[Order_Date]])</f>
        <v>2024</v>
      </c>
      <c r="P182">
        <f t="shared" si="2"/>
        <v>12121350</v>
      </c>
    </row>
    <row r="183" spans="1:16" hidden="1" x14ac:dyDescent="0.3">
      <c r="A183">
        <v>8182</v>
      </c>
      <c r="B183" s="6">
        <v>45423</v>
      </c>
      <c r="C183" t="s">
        <v>179</v>
      </c>
      <c r="D183" t="s">
        <v>33</v>
      </c>
      <c r="E183" t="s">
        <v>34</v>
      </c>
      <c r="F183" t="s">
        <v>35</v>
      </c>
      <c r="G183" t="s">
        <v>30</v>
      </c>
      <c r="H183" t="s">
        <v>44</v>
      </c>
      <c r="I183" t="s">
        <v>47</v>
      </c>
      <c r="J183">
        <v>29287</v>
      </c>
      <c r="K183">
        <v>19</v>
      </c>
      <c r="L183">
        <v>0.05</v>
      </c>
      <c r="M183">
        <v>2835</v>
      </c>
      <c r="N183" t="str">
        <f>TEXT(Table1[[#This Row],[Order_Date]],"mmm")</f>
        <v>May</v>
      </c>
      <c r="O183">
        <f>YEAR(Table1[[#This Row],[Order_Date]])</f>
        <v>2024</v>
      </c>
      <c r="P183">
        <f t="shared" si="2"/>
        <v>12121350</v>
      </c>
    </row>
    <row r="184" spans="1:16" x14ac:dyDescent="0.3">
      <c r="A184">
        <v>8183</v>
      </c>
      <c r="B184" s="6">
        <v>45471</v>
      </c>
      <c r="C184" t="s">
        <v>21</v>
      </c>
      <c r="D184" t="s">
        <v>26</v>
      </c>
      <c r="E184" t="s">
        <v>27</v>
      </c>
      <c r="F184" t="s">
        <v>28</v>
      </c>
      <c r="G184" t="s">
        <v>30</v>
      </c>
      <c r="H184" t="s">
        <v>18</v>
      </c>
      <c r="I184" t="s">
        <v>19</v>
      </c>
      <c r="J184">
        <v>19424</v>
      </c>
      <c r="K184">
        <v>8</v>
      </c>
      <c r="L184">
        <v>0.25</v>
      </c>
      <c r="M184">
        <v>4336</v>
      </c>
      <c r="N184" t="str">
        <f>TEXT(Table1[[#This Row],[Order_Date]],"mmm")</f>
        <v>Jun</v>
      </c>
      <c r="O184">
        <f>YEAR(Table1[[#This Row],[Order_Date]])</f>
        <v>2024</v>
      </c>
      <c r="P184">
        <f t="shared" si="2"/>
        <v>12121350</v>
      </c>
    </row>
    <row r="185" spans="1:16" hidden="1" x14ac:dyDescent="0.3">
      <c r="A185">
        <v>8184</v>
      </c>
      <c r="B185" s="6">
        <v>45396</v>
      </c>
      <c r="C185" t="s">
        <v>163</v>
      </c>
      <c r="D185" t="s">
        <v>26</v>
      </c>
      <c r="E185" t="s">
        <v>27</v>
      </c>
      <c r="F185" t="s">
        <v>28</v>
      </c>
      <c r="G185" t="s">
        <v>17</v>
      </c>
      <c r="H185" t="s">
        <v>18</v>
      </c>
      <c r="I185" t="s">
        <v>39</v>
      </c>
      <c r="J185">
        <v>68997</v>
      </c>
      <c r="K185">
        <v>7</v>
      </c>
      <c r="L185">
        <v>0.1</v>
      </c>
      <c r="M185">
        <v>5520</v>
      </c>
      <c r="N185" t="str">
        <f>TEXT(Table1[[#This Row],[Order_Date]],"mmm")</f>
        <v>Apr</v>
      </c>
      <c r="O185">
        <f>YEAR(Table1[[#This Row],[Order_Date]])</f>
        <v>2024</v>
      </c>
      <c r="P185">
        <f t="shared" si="2"/>
        <v>12121350</v>
      </c>
    </row>
    <row r="186" spans="1:16" hidden="1" x14ac:dyDescent="0.3">
      <c r="A186">
        <v>8185</v>
      </c>
      <c r="B186" s="6">
        <v>45462</v>
      </c>
      <c r="C186" t="s">
        <v>114</v>
      </c>
      <c r="D186" t="s">
        <v>33</v>
      </c>
      <c r="E186" t="s">
        <v>34</v>
      </c>
      <c r="F186" t="s">
        <v>35</v>
      </c>
      <c r="G186" t="s">
        <v>51</v>
      </c>
      <c r="H186" t="s">
        <v>22</v>
      </c>
      <c r="I186" t="s">
        <v>36</v>
      </c>
      <c r="J186">
        <v>16530</v>
      </c>
      <c r="K186">
        <v>8</v>
      </c>
      <c r="L186">
        <v>0.13</v>
      </c>
      <c r="M186">
        <v>1541</v>
      </c>
      <c r="N186" t="str">
        <f>TEXT(Table1[[#This Row],[Order_Date]],"mmm")</f>
        <v>Jun</v>
      </c>
      <c r="O186">
        <f>YEAR(Table1[[#This Row],[Order_Date]])</f>
        <v>2024</v>
      </c>
      <c r="P186">
        <f t="shared" si="2"/>
        <v>12121350</v>
      </c>
    </row>
    <row r="187" spans="1:16" hidden="1" x14ac:dyDescent="0.3">
      <c r="A187">
        <v>8186</v>
      </c>
      <c r="B187" s="6">
        <v>45388</v>
      </c>
      <c r="C187" t="s">
        <v>148</v>
      </c>
      <c r="D187" t="s">
        <v>26</v>
      </c>
      <c r="E187" t="s">
        <v>27</v>
      </c>
      <c r="F187" t="s">
        <v>28</v>
      </c>
      <c r="G187" t="s">
        <v>17</v>
      </c>
      <c r="H187" t="s">
        <v>22</v>
      </c>
      <c r="I187" t="s">
        <v>36</v>
      </c>
      <c r="J187">
        <v>75697</v>
      </c>
      <c r="K187">
        <v>13</v>
      </c>
      <c r="L187">
        <v>0.17</v>
      </c>
      <c r="M187">
        <v>14516</v>
      </c>
      <c r="N187" t="str">
        <f>TEXT(Table1[[#This Row],[Order_Date]],"mmm")</f>
        <v>Apr</v>
      </c>
      <c r="O187">
        <f>YEAR(Table1[[#This Row],[Order_Date]])</f>
        <v>2024</v>
      </c>
      <c r="P187">
        <f t="shared" si="2"/>
        <v>12121350</v>
      </c>
    </row>
    <row r="188" spans="1:16" hidden="1" x14ac:dyDescent="0.3">
      <c r="A188">
        <v>8187</v>
      </c>
      <c r="B188" s="6">
        <v>45464</v>
      </c>
      <c r="C188" t="s">
        <v>126</v>
      </c>
      <c r="D188" t="s">
        <v>49</v>
      </c>
      <c r="E188" t="s">
        <v>50</v>
      </c>
      <c r="F188" t="s">
        <v>50</v>
      </c>
      <c r="G188" t="s">
        <v>51</v>
      </c>
      <c r="H188" t="s">
        <v>44</v>
      </c>
      <c r="I188" t="s">
        <v>47</v>
      </c>
      <c r="J188">
        <v>70302</v>
      </c>
      <c r="K188">
        <v>11</v>
      </c>
      <c r="L188">
        <v>0.26</v>
      </c>
      <c r="M188">
        <v>5804</v>
      </c>
      <c r="N188" t="str">
        <f>TEXT(Table1[[#This Row],[Order_Date]],"mmm")</f>
        <v>Jun</v>
      </c>
      <c r="O188">
        <f>YEAR(Table1[[#This Row],[Order_Date]])</f>
        <v>2024</v>
      </c>
      <c r="P188">
        <f t="shared" si="2"/>
        <v>12121350</v>
      </c>
    </row>
    <row r="189" spans="1:16" hidden="1" x14ac:dyDescent="0.3">
      <c r="A189">
        <v>8188</v>
      </c>
      <c r="B189" s="6">
        <v>45308</v>
      </c>
      <c r="C189" t="s">
        <v>180</v>
      </c>
      <c r="D189" t="s">
        <v>33</v>
      </c>
      <c r="E189" t="s">
        <v>56</v>
      </c>
      <c r="F189" t="s">
        <v>57</v>
      </c>
      <c r="G189" t="s">
        <v>17</v>
      </c>
      <c r="H189" t="s">
        <v>22</v>
      </c>
      <c r="I189" t="s">
        <v>36</v>
      </c>
      <c r="J189">
        <v>68983</v>
      </c>
      <c r="K189">
        <v>17</v>
      </c>
      <c r="L189">
        <v>0</v>
      </c>
      <c r="M189">
        <v>11906</v>
      </c>
      <c r="N189" t="str">
        <f>TEXT(Table1[[#This Row],[Order_Date]],"mmm")</f>
        <v>Jan</v>
      </c>
      <c r="O189">
        <f>YEAR(Table1[[#This Row],[Order_Date]])</f>
        <v>2024</v>
      </c>
      <c r="P189">
        <f t="shared" si="2"/>
        <v>12121350</v>
      </c>
    </row>
    <row r="190" spans="1:16" hidden="1" x14ac:dyDescent="0.3">
      <c r="A190">
        <v>8189</v>
      </c>
      <c r="B190" s="6">
        <v>45421</v>
      </c>
      <c r="C190" t="s">
        <v>162</v>
      </c>
      <c r="D190" t="s">
        <v>26</v>
      </c>
      <c r="E190" t="s">
        <v>70</v>
      </c>
      <c r="F190" t="s">
        <v>71</v>
      </c>
      <c r="G190" t="s">
        <v>17</v>
      </c>
      <c r="H190" t="s">
        <v>44</v>
      </c>
      <c r="I190" t="s">
        <v>47</v>
      </c>
      <c r="J190">
        <v>24664</v>
      </c>
      <c r="K190">
        <v>6</v>
      </c>
      <c r="L190">
        <v>0.25</v>
      </c>
      <c r="M190">
        <v>4159</v>
      </c>
      <c r="N190" t="str">
        <f>TEXT(Table1[[#This Row],[Order_Date]],"mmm")</f>
        <v>May</v>
      </c>
      <c r="O190">
        <f>YEAR(Table1[[#This Row],[Order_Date]])</f>
        <v>2024</v>
      </c>
      <c r="P190">
        <f t="shared" si="2"/>
        <v>12121350</v>
      </c>
    </row>
    <row r="191" spans="1:16" hidden="1" x14ac:dyDescent="0.3">
      <c r="A191">
        <v>8190</v>
      </c>
      <c r="B191" s="6">
        <v>45306</v>
      </c>
      <c r="C191" t="s">
        <v>173</v>
      </c>
      <c r="D191" t="s">
        <v>49</v>
      </c>
      <c r="E191" t="s">
        <v>50</v>
      </c>
      <c r="F191" t="s">
        <v>50</v>
      </c>
      <c r="G191" t="s">
        <v>30</v>
      </c>
      <c r="H191" t="s">
        <v>18</v>
      </c>
      <c r="I191" t="s">
        <v>83</v>
      </c>
      <c r="J191">
        <v>39324</v>
      </c>
      <c r="K191">
        <v>4</v>
      </c>
      <c r="L191">
        <v>0.15</v>
      </c>
      <c r="M191">
        <v>8312</v>
      </c>
      <c r="N191" t="str">
        <f>TEXT(Table1[[#This Row],[Order_Date]],"mmm")</f>
        <v>Jan</v>
      </c>
      <c r="O191">
        <f>YEAR(Table1[[#This Row],[Order_Date]])</f>
        <v>2024</v>
      </c>
      <c r="P191">
        <f t="shared" si="2"/>
        <v>12121350</v>
      </c>
    </row>
    <row r="192" spans="1:16" hidden="1" x14ac:dyDescent="0.3">
      <c r="A192">
        <v>8191</v>
      </c>
      <c r="B192" s="6">
        <v>45370</v>
      </c>
      <c r="C192" t="s">
        <v>181</v>
      </c>
      <c r="D192" t="s">
        <v>26</v>
      </c>
      <c r="E192" t="s">
        <v>70</v>
      </c>
      <c r="F192" t="s">
        <v>71</v>
      </c>
      <c r="G192" t="s">
        <v>17</v>
      </c>
      <c r="H192" t="s">
        <v>44</v>
      </c>
      <c r="I192" t="s">
        <v>47</v>
      </c>
      <c r="J192">
        <v>50372</v>
      </c>
      <c r="K192">
        <v>6</v>
      </c>
      <c r="L192">
        <v>0.19</v>
      </c>
      <c r="M192">
        <v>5852</v>
      </c>
      <c r="N192" t="str">
        <f>TEXT(Table1[[#This Row],[Order_Date]],"mmm")</f>
        <v>Mar</v>
      </c>
      <c r="O192">
        <f>YEAR(Table1[[#This Row],[Order_Date]])</f>
        <v>2024</v>
      </c>
      <c r="P192">
        <f t="shared" si="2"/>
        <v>12121350</v>
      </c>
    </row>
    <row r="193" spans="1:16" hidden="1" x14ac:dyDescent="0.3">
      <c r="A193">
        <v>8192</v>
      </c>
      <c r="B193" s="6">
        <v>45305</v>
      </c>
      <c r="C193" t="s">
        <v>78</v>
      </c>
      <c r="D193" t="s">
        <v>26</v>
      </c>
      <c r="E193" t="s">
        <v>70</v>
      </c>
      <c r="F193" t="s">
        <v>71</v>
      </c>
      <c r="G193" t="s">
        <v>51</v>
      </c>
      <c r="H193" t="s">
        <v>44</v>
      </c>
      <c r="I193" t="s">
        <v>45</v>
      </c>
      <c r="J193">
        <v>11594</v>
      </c>
      <c r="K193">
        <v>1</v>
      </c>
      <c r="L193">
        <v>0.03</v>
      </c>
      <c r="M193">
        <v>1591</v>
      </c>
      <c r="N193" t="str">
        <f>TEXT(Table1[[#This Row],[Order_Date]],"mmm")</f>
        <v>Jan</v>
      </c>
      <c r="O193">
        <f>YEAR(Table1[[#This Row],[Order_Date]])</f>
        <v>2024</v>
      </c>
      <c r="P193">
        <f t="shared" si="2"/>
        <v>12121350</v>
      </c>
    </row>
    <row r="194" spans="1:16" hidden="1" x14ac:dyDescent="0.3">
      <c r="A194">
        <v>8193</v>
      </c>
      <c r="B194" s="6">
        <v>45338</v>
      </c>
      <c r="C194" t="s">
        <v>90</v>
      </c>
      <c r="D194" t="s">
        <v>49</v>
      </c>
      <c r="E194" t="s">
        <v>66</v>
      </c>
      <c r="F194" t="s">
        <v>67</v>
      </c>
      <c r="G194" t="s">
        <v>30</v>
      </c>
      <c r="H194" t="s">
        <v>44</v>
      </c>
      <c r="I194" t="s">
        <v>47</v>
      </c>
      <c r="J194">
        <v>62728</v>
      </c>
      <c r="K194">
        <v>9</v>
      </c>
      <c r="L194">
        <v>0.2</v>
      </c>
      <c r="M194">
        <v>6703</v>
      </c>
      <c r="N194" t="str">
        <f>TEXT(Table1[[#This Row],[Order_Date]],"mmm")</f>
        <v>Feb</v>
      </c>
      <c r="O194">
        <f>YEAR(Table1[[#This Row],[Order_Date]])</f>
        <v>2024</v>
      </c>
      <c r="P194">
        <f t="shared" ref="P194:P257" si="3">SUM(J:J)</f>
        <v>12121350</v>
      </c>
    </row>
    <row r="195" spans="1:16" hidden="1" x14ac:dyDescent="0.3">
      <c r="A195">
        <v>8194</v>
      </c>
      <c r="B195" s="6">
        <v>45436</v>
      </c>
      <c r="C195" t="s">
        <v>118</v>
      </c>
      <c r="D195" t="s">
        <v>14</v>
      </c>
      <c r="E195" t="s">
        <v>42</v>
      </c>
      <c r="F195" t="s">
        <v>43</v>
      </c>
      <c r="G195" t="s">
        <v>17</v>
      </c>
      <c r="H195" t="s">
        <v>44</v>
      </c>
      <c r="I195" t="s">
        <v>87</v>
      </c>
      <c r="J195">
        <v>20198</v>
      </c>
      <c r="K195">
        <v>16</v>
      </c>
      <c r="L195">
        <v>0.2</v>
      </c>
      <c r="M195">
        <v>1742</v>
      </c>
      <c r="N195" t="str">
        <f>TEXT(Table1[[#This Row],[Order_Date]],"mmm")</f>
        <v>May</v>
      </c>
      <c r="O195">
        <f>YEAR(Table1[[#This Row],[Order_Date]])</f>
        <v>2024</v>
      </c>
      <c r="P195">
        <f t="shared" si="3"/>
        <v>12121350</v>
      </c>
    </row>
    <row r="196" spans="1:16" hidden="1" x14ac:dyDescent="0.3">
      <c r="A196">
        <v>8195</v>
      </c>
      <c r="B196" s="6">
        <v>45469</v>
      </c>
      <c r="C196" t="s">
        <v>20</v>
      </c>
      <c r="D196" t="s">
        <v>33</v>
      </c>
      <c r="E196" t="s">
        <v>34</v>
      </c>
      <c r="F196" t="s">
        <v>35</v>
      </c>
      <c r="G196" t="s">
        <v>30</v>
      </c>
      <c r="H196" t="s">
        <v>18</v>
      </c>
      <c r="I196" t="s">
        <v>19</v>
      </c>
      <c r="J196">
        <v>43308</v>
      </c>
      <c r="K196">
        <v>20</v>
      </c>
      <c r="L196">
        <v>0.24</v>
      </c>
      <c r="M196">
        <v>8939</v>
      </c>
      <c r="N196" t="str">
        <f>TEXT(Table1[[#This Row],[Order_Date]],"mmm")</f>
        <v>Jun</v>
      </c>
      <c r="O196">
        <f>YEAR(Table1[[#This Row],[Order_Date]])</f>
        <v>2024</v>
      </c>
      <c r="P196">
        <f t="shared" si="3"/>
        <v>12121350</v>
      </c>
    </row>
    <row r="197" spans="1:16" hidden="1" x14ac:dyDescent="0.3">
      <c r="A197">
        <v>8196</v>
      </c>
      <c r="B197" s="6">
        <v>45341</v>
      </c>
      <c r="C197" t="s">
        <v>92</v>
      </c>
      <c r="D197" t="s">
        <v>49</v>
      </c>
      <c r="E197" t="s">
        <v>50</v>
      </c>
      <c r="F197" t="s">
        <v>50</v>
      </c>
      <c r="G197" t="s">
        <v>51</v>
      </c>
      <c r="H197" t="s">
        <v>22</v>
      </c>
      <c r="I197" t="s">
        <v>68</v>
      </c>
      <c r="J197">
        <v>9345</v>
      </c>
      <c r="K197">
        <v>3</v>
      </c>
      <c r="L197">
        <v>0.09</v>
      </c>
      <c r="M197">
        <v>1837</v>
      </c>
      <c r="N197" t="str">
        <f>TEXT(Table1[[#This Row],[Order_Date]],"mmm")</f>
        <v>Feb</v>
      </c>
      <c r="O197">
        <f>YEAR(Table1[[#This Row],[Order_Date]])</f>
        <v>2024</v>
      </c>
      <c r="P197">
        <f t="shared" si="3"/>
        <v>12121350</v>
      </c>
    </row>
    <row r="198" spans="1:16" hidden="1" x14ac:dyDescent="0.3">
      <c r="A198">
        <v>8197</v>
      </c>
      <c r="B198" s="6">
        <v>45391</v>
      </c>
      <c r="C198" t="s">
        <v>115</v>
      </c>
      <c r="D198" t="s">
        <v>33</v>
      </c>
      <c r="E198" t="s">
        <v>34</v>
      </c>
      <c r="F198" t="s">
        <v>35</v>
      </c>
      <c r="G198" t="s">
        <v>51</v>
      </c>
      <c r="H198" t="s">
        <v>44</v>
      </c>
      <c r="I198" t="s">
        <v>47</v>
      </c>
      <c r="J198">
        <v>25677</v>
      </c>
      <c r="K198">
        <v>7</v>
      </c>
      <c r="L198">
        <v>0.17</v>
      </c>
      <c r="M198">
        <v>3597</v>
      </c>
      <c r="N198" t="str">
        <f>TEXT(Table1[[#This Row],[Order_Date]],"mmm")</f>
        <v>Apr</v>
      </c>
      <c r="O198">
        <f>YEAR(Table1[[#This Row],[Order_Date]])</f>
        <v>2024</v>
      </c>
      <c r="P198">
        <f t="shared" si="3"/>
        <v>12121350</v>
      </c>
    </row>
    <row r="199" spans="1:16" hidden="1" x14ac:dyDescent="0.3">
      <c r="A199">
        <v>8198</v>
      </c>
      <c r="B199" s="6">
        <v>45355</v>
      </c>
      <c r="C199" t="s">
        <v>41</v>
      </c>
      <c r="D199" t="s">
        <v>26</v>
      </c>
      <c r="E199" t="s">
        <v>27</v>
      </c>
      <c r="F199" t="s">
        <v>28</v>
      </c>
      <c r="G199" t="s">
        <v>17</v>
      </c>
      <c r="H199" t="s">
        <v>44</v>
      </c>
      <c r="I199" t="s">
        <v>87</v>
      </c>
      <c r="J199">
        <v>34019</v>
      </c>
      <c r="K199">
        <v>12</v>
      </c>
      <c r="L199">
        <v>0.28999999999999998</v>
      </c>
      <c r="M199">
        <v>4326</v>
      </c>
      <c r="N199" t="str">
        <f>TEXT(Table1[[#This Row],[Order_Date]],"mmm")</f>
        <v>Mar</v>
      </c>
      <c r="O199">
        <f>YEAR(Table1[[#This Row],[Order_Date]])</f>
        <v>2024</v>
      </c>
      <c r="P199">
        <f t="shared" si="3"/>
        <v>12121350</v>
      </c>
    </row>
    <row r="200" spans="1:16" hidden="1" x14ac:dyDescent="0.3">
      <c r="A200">
        <v>8199</v>
      </c>
      <c r="B200" s="6">
        <v>45295</v>
      </c>
      <c r="C200" t="s">
        <v>132</v>
      </c>
      <c r="D200" t="s">
        <v>33</v>
      </c>
      <c r="E200" t="s">
        <v>34</v>
      </c>
      <c r="F200" t="s">
        <v>35</v>
      </c>
      <c r="G200" t="s">
        <v>51</v>
      </c>
      <c r="H200" t="s">
        <v>44</v>
      </c>
      <c r="I200" t="s">
        <v>87</v>
      </c>
      <c r="J200">
        <v>43503</v>
      </c>
      <c r="K200">
        <v>15</v>
      </c>
      <c r="L200">
        <v>0.18</v>
      </c>
      <c r="M200">
        <v>3244</v>
      </c>
      <c r="N200" t="str">
        <f>TEXT(Table1[[#This Row],[Order_Date]],"mmm")</f>
        <v>Jan</v>
      </c>
      <c r="O200">
        <f>YEAR(Table1[[#This Row],[Order_Date]])</f>
        <v>2024</v>
      </c>
      <c r="P200">
        <f t="shared" si="3"/>
        <v>12121350</v>
      </c>
    </row>
    <row r="201" spans="1:16" x14ac:dyDescent="0.3">
      <c r="A201">
        <v>8200</v>
      </c>
      <c r="B201" s="6">
        <v>45434</v>
      </c>
      <c r="C201" t="s">
        <v>156</v>
      </c>
      <c r="D201" t="s">
        <v>26</v>
      </c>
      <c r="E201" t="s">
        <v>70</v>
      </c>
      <c r="F201" t="s">
        <v>71</v>
      </c>
      <c r="G201" t="s">
        <v>30</v>
      </c>
      <c r="H201" t="s">
        <v>22</v>
      </c>
      <c r="I201" t="s">
        <v>23</v>
      </c>
      <c r="J201">
        <v>60865</v>
      </c>
      <c r="K201">
        <v>15</v>
      </c>
      <c r="L201">
        <v>0.13</v>
      </c>
      <c r="M201">
        <v>7389</v>
      </c>
      <c r="N201" t="str">
        <f>TEXT(Table1[[#This Row],[Order_Date]],"mmm")</f>
        <v>May</v>
      </c>
      <c r="O201">
        <f>YEAR(Table1[[#This Row],[Order_Date]])</f>
        <v>2024</v>
      </c>
      <c r="P201">
        <f t="shared" si="3"/>
        <v>12121350</v>
      </c>
    </row>
    <row r="202" spans="1:16" x14ac:dyDescent="0.3">
      <c r="A202">
        <v>8201</v>
      </c>
      <c r="B202" s="6">
        <v>45452</v>
      </c>
      <c r="C202" t="s">
        <v>120</v>
      </c>
      <c r="D202" t="s">
        <v>26</v>
      </c>
      <c r="E202" t="s">
        <v>70</v>
      </c>
      <c r="F202" t="s">
        <v>71</v>
      </c>
      <c r="G202" t="s">
        <v>30</v>
      </c>
      <c r="H202" t="s">
        <v>18</v>
      </c>
      <c r="I202" t="s">
        <v>39</v>
      </c>
      <c r="J202">
        <v>4837</v>
      </c>
      <c r="K202">
        <v>17</v>
      </c>
      <c r="L202">
        <v>0.28000000000000003</v>
      </c>
      <c r="M202">
        <v>446</v>
      </c>
      <c r="N202" t="str">
        <f>TEXT(Table1[[#This Row],[Order_Date]],"mmm")</f>
        <v>Jun</v>
      </c>
      <c r="O202">
        <f>YEAR(Table1[[#This Row],[Order_Date]])</f>
        <v>2024</v>
      </c>
      <c r="P202">
        <f t="shared" si="3"/>
        <v>12121350</v>
      </c>
    </row>
    <row r="203" spans="1:16" hidden="1" x14ac:dyDescent="0.3">
      <c r="A203">
        <v>8202</v>
      </c>
      <c r="B203" s="6">
        <v>45298</v>
      </c>
      <c r="C203" t="s">
        <v>164</v>
      </c>
      <c r="D203" t="s">
        <v>14</v>
      </c>
      <c r="E203" t="s">
        <v>15</v>
      </c>
      <c r="F203" t="s">
        <v>16</v>
      </c>
      <c r="G203" t="s">
        <v>30</v>
      </c>
      <c r="H203" t="s">
        <v>22</v>
      </c>
      <c r="I203" t="s">
        <v>68</v>
      </c>
      <c r="J203">
        <v>78885</v>
      </c>
      <c r="K203">
        <v>2</v>
      </c>
      <c r="L203">
        <v>0.26</v>
      </c>
      <c r="M203">
        <v>16617</v>
      </c>
      <c r="N203" t="str">
        <f>TEXT(Table1[[#This Row],[Order_Date]],"mmm")</f>
        <v>Jan</v>
      </c>
      <c r="O203">
        <f>YEAR(Table1[[#This Row],[Order_Date]])</f>
        <v>2024</v>
      </c>
      <c r="P203">
        <f t="shared" si="3"/>
        <v>12121350</v>
      </c>
    </row>
    <row r="204" spans="1:16" hidden="1" x14ac:dyDescent="0.3">
      <c r="A204">
        <v>8203</v>
      </c>
      <c r="B204" s="6">
        <v>45403</v>
      </c>
      <c r="C204" t="s">
        <v>157</v>
      </c>
      <c r="D204" t="s">
        <v>14</v>
      </c>
      <c r="E204" t="s">
        <v>15</v>
      </c>
      <c r="F204" t="s">
        <v>16</v>
      </c>
      <c r="G204" t="s">
        <v>17</v>
      </c>
      <c r="H204" t="s">
        <v>44</v>
      </c>
      <c r="I204" t="s">
        <v>45</v>
      </c>
      <c r="J204">
        <v>71207</v>
      </c>
      <c r="K204">
        <v>17</v>
      </c>
      <c r="L204">
        <v>0.05</v>
      </c>
      <c r="M204">
        <v>4260</v>
      </c>
      <c r="N204" t="str">
        <f>TEXT(Table1[[#This Row],[Order_Date]],"mmm")</f>
        <v>Apr</v>
      </c>
      <c r="O204">
        <f>YEAR(Table1[[#This Row],[Order_Date]])</f>
        <v>2024</v>
      </c>
      <c r="P204">
        <f t="shared" si="3"/>
        <v>12121350</v>
      </c>
    </row>
    <row r="205" spans="1:16" x14ac:dyDescent="0.3">
      <c r="A205">
        <v>8204</v>
      </c>
      <c r="B205" s="6">
        <v>45373</v>
      </c>
      <c r="C205" t="s">
        <v>178</v>
      </c>
      <c r="D205" t="s">
        <v>26</v>
      </c>
      <c r="E205" t="s">
        <v>70</v>
      </c>
      <c r="F205" t="s">
        <v>71</v>
      </c>
      <c r="G205" t="s">
        <v>30</v>
      </c>
      <c r="H205" t="s">
        <v>18</v>
      </c>
      <c r="I205" t="s">
        <v>19</v>
      </c>
      <c r="J205">
        <v>43997</v>
      </c>
      <c r="K205">
        <v>3</v>
      </c>
      <c r="L205">
        <v>0.25</v>
      </c>
      <c r="M205">
        <v>2397</v>
      </c>
      <c r="N205" t="str">
        <f>TEXT(Table1[[#This Row],[Order_Date]],"mmm")</f>
        <v>Mar</v>
      </c>
      <c r="O205">
        <f>YEAR(Table1[[#This Row],[Order_Date]])</f>
        <v>2024</v>
      </c>
      <c r="P205">
        <f t="shared" si="3"/>
        <v>12121350</v>
      </c>
    </row>
    <row r="206" spans="1:16" hidden="1" x14ac:dyDescent="0.3">
      <c r="A206">
        <v>8205</v>
      </c>
      <c r="B206" s="6">
        <v>45292</v>
      </c>
      <c r="C206" t="s">
        <v>60</v>
      </c>
      <c r="D206" t="s">
        <v>49</v>
      </c>
      <c r="E206" t="s">
        <v>66</v>
      </c>
      <c r="F206" t="s">
        <v>67</v>
      </c>
      <c r="G206" t="s">
        <v>17</v>
      </c>
      <c r="H206" t="s">
        <v>22</v>
      </c>
      <c r="I206" t="s">
        <v>23</v>
      </c>
      <c r="J206">
        <v>52760</v>
      </c>
      <c r="K206">
        <v>9</v>
      </c>
      <c r="L206">
        <v>0.22</v>
      </c>
      <c r="M206">
        <v>7027</v>
      </c>
      <c r="N206" t="str">
        <f>TEXT(Table1[[#This Row],[Order_Date]],"mmm")</f>
        <v>Jan</v>
      </c>
      <c r="O206">
        <f>YEAR(Table1[[#This Row],[Order_Date]])</f>
        <v>2024</v>
      </c>
      <c r="P206">
        <f t="shared" si="3"/>
        <v>12121350</v>
      </c>
    </row>
    <row r="207" spans="1:16" hidden="1" x14ac:dyDescent="0.3">
      <c r="A207">
        <v>8206</v>
      </c>
      <c r="B207" s="6">
        <v>45373</v>
      </c>
      <c r="C207" t="s">
        <v>46</v>
      </c>
      <c r="D207" t="s">
        <v>49</v>
      </c>
      <c r="E207" t="s">
        <v>66</v>
      </c>
      <c r="F207" t="s">
        <v>67</v>
      </c>
      <c r="G207" t="s">
        <v>30</v>
      </c>
      <c r="H207" t="s">
        <v>44</v>
      </c>
      <c r="I207" t="s">
        <v>45</v>
      </c>
      <c r="J207">
        <v>61964</v>
      </c>
      <c r="K207">
        <v>15</v>
      </c>
      <c r="L207">
        <v>0.19</v>
      </c>
      <c r="M207">
        <v>4715</v>
      </c>
      <c r="N207" t="str">
        <f>TEXT(Table1[[#This Row],[Order_Date]],"mmm")</f>
        <v>Mar</v>
      </c>
      <c r="O207">
        <f>YEAR(Table1[[#This Row],[Order_Date]])</f>
        <v>2024</v>
      </c>
      <c r="P207">
        <f t="shared" si="3"/>
        <v>12121350</v>
      </c>
    </row>
    <row r="208" spans="1:16" hidden="1" x14ac:dyDescent="0.3">
      <c r="A208">
        <v>8207</v>
      </c>
      <c r="B208" s="6">
        <v>45351</v>
      </c>
      <c r="C208" t="s">
        <v>41</v>
      </c>
      <c r="D208" t="s">
        <v>14</v>
      </c>
      <c r="E208" t="s">
        <v>15</v>
      </c>
      <c r="F208" t="s">
        <v>16</v>
      </c>
      <c r="G208" t="s">
        <v>17</v>
      </c>
      <c r="H208" t="s">
        <v>44</v>
      </c>
      <c r="I208" t="s">
        <v>45</v>
      </c>
      <c r="J208">
        <v>15747</v>
      </c>
      <c r="K208">
        <v>15</v>
      </c>
      <c r="L208">
        <v>0.01</v>
      </c>
      <c r="M208">
        <v>2739</v>
      </c>
      <c r="N208" t="str">
        <f>TEXT(Table1[[#This Row],[Order_Date]],"mmm")</f>
        <v>Feb</v>
      </c>
      <c r="O208">
        <f>YEAR(Table1[[#This Row],[Order_Date]])</f>
        <v>2024</v>
      </c>
      <c r="P208">
        <f t="shared" si="3"/>
        <v>12121350</v>
      </c>
    </row>
    <row r="209" spans="1:16" hidden="1" x14ac:dyDescent="0.3">
      <c r="A209">
        <v>8208</v>
      </c>
      <c r="B209" s="6">
        <v>45381</v>
      </c>
      <c r="C209" t="s">
        <v>105</v>
      </c>
      <c r="D209" t="s">
        <v>26</v>
      </c>
      <c r="E209" t="s">
        <v>70</v>
      </c>
      <c r="F209" t="s">
        <v>71</v>
      </c>
      <c r="G209" t="s">
        <v>17</v>
      </c>
      <c r="H209" t="s">
        <v>44</v>
      </c>
      <c r="I209" t="s">
        <v>47</v>
      </c>
      <c r="J209">
        <v>74391</v>
      </c>
      <c r="K209">
        <v>10</v>
      </c>
      <c r="L209">
        <v>7.0000000000000007E-2</v>
      </c>
      <c r="M209">
        <v>7345</v>
      </c>
      <c r="N209" t="str">
        <f>TEXT(Table1[[#This Row],[Order_Date]],"mmm")</f>
        <v>Mar</v>
      </c>
      <c r="O209">
        <f>YEAR(Table1[[#This Row],[Order_Date]])</f>
        <v>2024</v>
      </c>
      <c r="P209">
        <f t="shared" si="3"/>
        <v>12121350</v>
      </c>
    </row>
    <row r="210" spans="1:16" hidden="1" x14ac:dyDescent="0.3">
      <c r="A210">
        <v>8209</v>
      </c>
      <c r="B210" s="6">
        <v>45332</v>
      </c>
      <c r="C210" t="s">
        <v>29</v>
      </c>
      <c r="D210" t="s">
        <v>14</v>
      </c>
      <c r="E210" t="s">
        <v>15</v>
      </c>
      <c r="F210" t="s">
        <v>16</v>
      </c>
      <c r="G210" t="s">
        <v>17</v>
      </c>
      <c r="H210" t="s">
        <v>44</v>
      </c>
      <c r="I210" t="s">
        <v>47</v>
      </c>
      <c r="J210">
        <v>16547</v>
      </c>
      <c r="K210">
        <v>7</v>
      </c>
      <c r="L210">
        <v>0</v>
      </c>
      <c r="M210">
        <v>3681</v>
      </c>
      <c r="N210" t="str">
        <f>TEXT(Table1[[#This Row],[Order_Date]],"mmm")</f>
        <v>Feb</v>
      </c>
      <c r="O210">
        <f>YEAR(Table1[[#This Row],[Order_Date]])</f>
        <v>2024</v>
      </c>
      <c r="P210">
        <f t="shared" si="3"/>
        <v>12121350</v>
      </c>
    </row>
    <row r="211" spans="1:16" hidden="1" x14ac:dyDescent="0.3">
      <c r="A211">
        <v>8210</v>
      </c>
      <c r="B211" s="6">
        <v>45435</v>
      </c>
      <c r="C211" t="s">
        <v>176</v>
      </c>
      <c r="D211" t="s">
        <v>33</v>
      </c>
      <c r="E211" t="s">
        <v>56</v>
      </c>
      <c r="F211" t="s">
        <v>57</v>
      </c>
      <c r="G211" t="s">
        <v>51</v>
      </c>
      <c r="H211" t="s">
        <v>22</v>
      </c>
      <c r="I211" t="s">
        <v>36</v>
      </c>
      <c r="J211">
        <v>60510</v>
      </c>
      <c r="K211">
        <v>5</v>
      </c>
      <c r="L211">
        <v>0.27</v>
      </c>
      <c r="M211">
        <v>3962</v>
      </c>
      <c r="N211" t="str">
        <f>TEXT(Table1[[#This Row],[Order_Date]],"mmm")</f>
        <v>May</v>
      </c>
      <c r="O211">
        <f>YEAR(Table1[[#This Row],[Order_Date]])</f>
        <v>2024</v>
      </c>
      <c r="P211">
        <f t="shared" si="3"/>
        <v>12121350</v>
      </c>
    </row>
    <row r="212" spans="1:16" hidden="1" x14ac:dyDescent="0.3">
      <c r="A212">
        <v>8211</v>
      </c>
      <c r="B212" s="6">
        <v>45454</v>
      </c>
      <c r="C212" t="s">
        <v>146</v>
      </c>
      <c r="D212" t="s">
        <v>14</v>
      </c>
      <c r="E212" t="s">
        <v>42</v>
      </c>
      <c r="F212" t="s">
        <v>43</v>
      </c>
      <c r="G212" t="s">
        <v>51</v>
      </c>
      <c r="H212" t="s">
        <v>18</v>
      </c>
      <c r="I212" t="s">
        <v>83</v>
      </c>
      <c r="J212">
        <v>73048</v>
      </c>
      <c r="K212">
        <v>3</v>
      </c>
      <c r="L212">
        <v>0.25</v>
      </c>
      <c r="M212">
        <v>15943</v>
      </c>
      <c r="N212" t="str">
        <f>TEXT(Table1[[#This Row],[Order_Date]],"mmm")</f>
        <v>Jun</v>
      </c>
      <c r="O212">
        <f>YEAR(Table1[[#This Row],[Order_Date]])</f>
        <v>2024</v>
      </c>
      <c r="P212">
        <f t="shared" si="3"/>
        <v>12121350</v>
      </c>
    </row>
    <row r="213" spans="1:16" hidden="1" x14ac:dyDescent="0.3">
      <c r="A213">
        <v>8212</v>
      </c>
      <c r="B213" s="6">
        <v>45311</v>
      </c>
      <c r="C213" t="s">
        <v>101</v>
      </c>
      <c r="D213" t="s">
        <v>14</v>
      </c>
      <c r="E213" t="s">
        <v>42</v>
      </c>
      <c r="F213" t="s">
        <v>43</v>
      </c>
      <c r="G213" t="s">
        <v>30</v>
      </c>
      <c r="H213" t="s">
        <v>18</v>
      </c>
      <c r="I213" t="s">
        <v>19</v>
      </c>
      <c r="J213">
        <v>38571</v>
      </c>
      <c r="K213">
        <v>7</v>
      </c>
      <c r="L213">
        <v>0.14000000000000001</v>
      </c>
      <c r="M213">
        <v>6182</v>
      </c>
      <c r="N213" t="str">
        <f>TEXT(Table1[[#This Row],[Order_Date]],"mmm")</f>
        <v>Jan</v>
      </c>
      <c r="O213">
        <f>YEAR(Table1[[#This Row],[Order_Date]])</f>
        <v>2024</v>
      </c>
      <c r="P213">
        <f t="shared" si="3"/>
        <v>12121350</v>
      </c>
    </row>
    <row r="214" spans="1:16" hidden="1" x14ac:dyDescent="0.3">
      <c r="A214">
        <v>8213</v>
      </c>
      <c r="B214" s="6">
        <v>45333</v>
      </c>
      <c r="C214" t="s">
        <v>140</v>
      </c>
      <c r="D214" t="s">
        <v>49</v>
      </c>
      <c r="E214" t="s">
        <v>50</v>
      </c>
      <c r="F214" t="s">
        <v>50</v>
      </c>
      <c r="G214" t="s">
        <v>17</v>
      </c>
      <c r="H214" t="s">
        <v>22</v>
      </c>
      <c r="I214" t="s">
        <v>36</v>
      </c>
      <c r="J214">
        <v>46967</v>
      </c>
      <c r="K214">
        <v>5</v>
      </c>
      <c r="L214">
        <v>0.06</v>
      </c>
      <c r="M214">
        <v>5602</v>
      </c>
      <c r="N214" t="str">
        <f>TEXT(Table1[[#This Row],[Order_Date]],"mmm")</f>
        <v>Feb</v>
      </c>
      <c r="O214">
        <f>YEAR(Table1[[#This Row],[Order_Date]])</f>
        <v>2024</v>
      </c>
      <c r="P214">
        <f t="shared" si="3"/>
        <v>12121350</v>
      </c>
    </row>
    <row r="215" spans="1:16" hidden="1" x14ac:dyDescent="0.3">
      <c r="A215">
        <v>8214</v>
      </c>
      <c r="B215" s="6">
        <v>45416</v>
      </c>
      <c r="C215" t="s">
        <v>37</v>
      </c>
      <c r="D215" t="s">
        <v>49</v>
      </c>
      <c r="E215" t="s">
        <v>66</v>
      </c>
      <c r="F215" t="s">
        <v>67</v>
      </c>
      <c r="G215" t="s">
        <v>30</v>
      </c>
      <c r="H215" t="s">
        <v>44</v>
      </c>
      <c r="I215" t="s">
        <v>87</v>
      </c>
      <c r="J215">
        <v>54201</v>
      </c>
      <c r="K215">
        <v>10</v>
      </c>
      <c r="L215">
        <v>0.25</v>
      </c>
      <c r="M215">
        <v>7027</v>
      </c>
      <c r="N215" t="str">
        <f>TEXT(Table1[[#This Row],[Order_Date]],"mmm")</f>
        <v>May</v>
      </c>
      <c r="O215">
        <f>YEAR(Table1[[#This Row],[Order_Date]])</f>
        <v>2024</v>
      </c>
      <c r="P215">
        <f t="shared" si="3"/>
        <v>12121350</v>
      </c>
    </row>
    <row r="216" spans="1:16" hidden="1" x14ac:dyDescent="0.3">
      <c r="A216">
        <v>8215</v>
      </c>
      <c r="B216" s="6">
        <v>45336</v>
      </c>
      <c r="C216" t="s">
        <v>90</v>
      </c>
      <c r="D216" t="s">
        <v>14</v>
      </c>
      <c r="E216" t="s">
        <v>15</v>
      </c>
      <c r="F216" t="s">
        <v>16</v>
      </c>
      <c r="G216" t="s">
        <v>30</v>
      </c>
      <c r="H216" t="s">
        <v>18</v>
      </c>
      <c r="I216" t="s">
        <v>83</v>
      </c>
      <c r="J216">
        <v>23472</v>
      </c>
      <c r="K216">
        <v>7</v>
      </c>
      <c r="L216">
        <v>0.28999999999999998</v>
      </c>
      <c r="M216">
        <v>3400</v>
      </c>
      <c r="N216" t="str">
        <f>TEXT(Table1[[#This Row],[Order_Date]],"mmm")</f>
        <v>Feb</v>
      </c>
      <c r="O216">
        <f>YEAR(Table1[[#This Row],[Order_Date]])</f>
        <v>2024</v>
      </c>
      <c r="P216">
        <f t="shared" si="3"/>
        <v>12121350</v>
      </c>
    </row>
    <row r="217" spans="1:16" x14ac:dyDescent="0.3">
      <c r="A217">
        <v>8216</v>
      </c>
      <c r="B217" s="6">
        <v>45374</v>
      </c>
      <c r="C217" t="s">
        <v>100</v>
      </c>
      <c r="D217" t="s">
        <v>26</v>
      </c>
      <c r="E217" t="s">
        <v>27</v>
      </c>
      <c r="F217" t="s">
        <v>28</v>
      </c>
      <c r="G217" t="s">
        <v>30</v>
      </c>
      <c r="H217" t="s">
        <v>22</v>
      </c>
      <c r="I217" t="s">
        <v>36</v>
      </c>
      <c r="J217">
        <v>12044</v>
      </c>
      <c r="K217">
        <v>19</v>
      </c>
      <c r="L217">
        <v>0.02</v>
      </c>
      <c r="M217">
        <v>1903</v>
      </c>
      <c r="N217" t="str">
        <f>TEXT(Table1[[#This Row],[Order_Date]],"mmm")</f>
        <v>Mar</v>
      </c>
      <c r="O217">
        <f>YEAR(Table1[[#This Row],[Order_Date]])</f>
        <v>2024</v>
      </c>
      <c r="P217">
        <f t="shared" si="3"/>
        <v>12121350</v>
      </c>
    </row>
    <row r="218" spans="1:16" hidden="1" x14ac:dyDescent="0.3">
      <c r="A218">
        <v>8217</v>
      </c>
      <c r="B218" s="6">
        <v>45365</v>
      </c>
      <c r="C218" t="s">
        <v>151</v>
      </c>
      <c r="D218" t="s">
        <v>33</v>
      </c>
      <c r="E218" t="s">
        <v>34</v>
      </c>
      <c r="F218" t="s">
        <v>35</v>
      </c>
      <c r="G218" t="s">
        <v>30</v>
      </c>
      <c r="H218" t="s">
        <v>22</v>
      </c>
      <c r="I218" t="s">
        <v>36</v>
      </c>
      <c r="J218">
        <v>11972</v>
      </c>
      <c r="K218">
        <v>5</v>
      </c>
      <c r="L218">
        <v>0.05</v>
      </c>
      <c r="M218">
        <v>677</v>
      </c>
      <c r="N218" t="str">
        <f>TEXT(Table1[[#This Row],[Order_Date]],"mmm")</f>
        <v>Mar</v>
      </c>
      <c r="O218">
        <f>YEAR(Table1[[#This Row],[Order_Date]])</f>
        <v>2024</v>
      </c>
      <c r="P218">
        <f t="shared" si="3"/>
        <v>12121350</v>
      </c>
    </row>
    <row r="219" spans="1:16" hidden="1" x14ac:dyDescent="0.3">
      <c r="A219">
        <v>8218</v>
      </c>
      <c r="B219" s="6">
        <v>45426</v>
      </c>
      <c r="C219" t="s">
        <v>145</v>
      </c>
      <c r="D219" t="s">
        <v>26</v>
      </c>
      <c r="E219" t="s">
        <v>70</v>
      </c>
      <c r="F219" t="s">
        <v>71</v>
      </c>
      <c r="G219" t="s">
        <v>17</v>
      </c>
      <c r="H219" t="s">
        <v>22</v>
      </c>
      <c r="I219" t="s">
        <v>68</v>
      </c>
      <c r="J219">
        <v>4382</v>
      </c>
      <c r="K219">
        <v>13</v>
      </c>
      <c r="L219">
        <v>0.17</v>
      </c>
      <c r="M219">
        <v>894</v>
      </c>
      <c r="N219" t="str">
        <f>TEXT(Table1[[#This Row],[Order_Date]],"mmm")</f>
        <v>May</v>
      </c>
      <c r="O219">
        <f>YEAR(Table1[[#This Row],[Order_Date]])</f>
        <v>2024</v>
      </c>
      <c r="P219">
        <f t="shared" si="3"/>
        <v>12121350</v>
      </c>
    </row>
    <row r="220" spans="1:16" x14ac:dyDescent="0.3">
      <c r="A220">
        <v>8219</v>
      </c>
      <c r="B220" s="6">
        <v>45382</v>
      </c>
      <c r="C220" t="s">
        <v>121</v>
      </c>
      <c r="D220" t="s">
        <v>26</v>
      </c>
      <c r="E220" t="s">
        <v>27</v>
      </c>
      <c r="F220" t="s">
        <v>28</v>
      </c>
      <c r="G220" t="s">
        <v>30</v>
      </c>
      <c r="H220" t="s">
        <v>18</v>
      </c>
      <c r="I220" t="s">
        <v>19</v>
      </c>
      <c r="J220">
        <v>44796</v>
      </c>
      <c r="K220">
        <v>12</v>
      </c>
      <c r="L220">
        <v>0.21</v>
      </c>
      <c r="M220">
        <v>6199</v>
      </c>
      <c r="N220" t="str">
        <f>TEXT(Table1[[#This Row],[Order_Date]],"mmm")</f>
        <v>Mar</v>
      </c>
      <c r="O220">
        <f>YEAR(Table1[[#This Row],[Order_Date]])</f>
        <v>2024</v>
      </c>
      <c r="P220">
        <f t="shared" si="3"/>
        <v>12121350</v>
      </c>
    </row>
    <row r="221" spans="1:16" hidden="1" x14ac:dyDescent="0.3">
      <c r="A221">
        <v>8220</v>
      </c>
      <c r="B221" s="6">
        <v>45451</v>
      </c>
      <c r="C221" t="s">
        <v>97</v>
      </c>
      <c r="D221" t="s">
        <v>14</v>
      </c>
      <c r="E221" t="s">
        <v>15</v>
      </c>
      <c r="F221" t="s">
        <v>16</v>
      </c>
      <c r="G221" t="s">
        <v>51</v>
      </c>
      <c r="H221" t="s">
        <v>22</v>
      </c>
      <c r="I221" t="s">
        <v>68</v>
      </c>
      <c r="J221">
        <v>52325</v>
      </c>
      <c r="K221">
        <v>7</v>
      </c>
      <c r="L221">
        <v>0.05</v>
      </c>
      <c r="M221">
        <v>6947</v>
      </c>
      <c r="N221" t="str">
        <f>TEXT(Table1[[#This Row],[Order_Date]],"mmm")</f>
        <v>Jun</v>
      </c>
      <c r="O221">
        <f>YEAR(Table1[[#This Row],[Order_Date]])</f>
        <v>2024</v>
      </c>
      <c r="P221">
        <f t="shared" si="3"/>
        <v>12121350</v>
      </c>
    </row>
    <row r="222" spans="1:16" hidden="1" x14ac:dyDescent="0.3">
      <c r="A222">
        <v>8221</v>
      </c>
      <c r="B222" s="6">
        <v>45388</v>
      </c>
      <c r="C222" t="s">
        <v>148</v>
      </c>
      <c r="D222" t="s">
        <v>14</v>
      </c>
      <c r="E222" t="s">
        <v>42</v>
      </c>
      <c r="F222" t="s">
        <v>43</v>
      </c>
      <c r="G222" t="s">
        <v>30</v>
      </c>
      <c r="H222" t="s">
        <v>18</v>
      </c>
      <c r="I222" t="s">
        <v>19</v>
      </c>
      <c r="J222">
        <v>21949</v>
      </c>
      <c r="K222">
        <v>2</v>
      </c>
      <c r="L222">
        <v>0.03</v>
      </c>
      <c r="M222">
        <v>2870</v>
      </c>
      <c r="N222" t="str">
        <f>TEXT(Table1[[#This Row],[Order_Date]],"mmm")</f>
        <v>Apr</v>
      </c>
      <c r="O222">
        <f>YEAR(Table1[[#This Row],[Order_Date]])</f>
        <v>2024</v>
      </c>
      <c r="P222">
        <f t="shared" si="3"/>
        <v>12121350</v>
      </c>
    </row>
    <row r="223" spans="1:16" hidden="1" x14ac:dyDescent="0.3">
      <c r="A223">
        <v>8222</v>
      </c>
      <c r="B223" s="6">
        <v>45346</v>
      </c>
      <c r="C223" t="s">
        <v>182</v>
      </c>
      <c r="D223" t="s">
        <v>33</v>
      </c>
      <c r="E223" t="s">
        <v>34</v>
      </c>
      <c r="F223" t="s">
        <v>35</v>
      </c>
      <c r="G223" t="s">
        <v>30</v>
      </c>
      <c r="H223" t="s">
        <v>44</v>
      </c>
      <c r="I223" t="s">
        <v>87</v>
      </c>
      <c r="J223">
        <v>15937</v>
      </c>
      <c r="K223">
        <v>15</v>
      </c>
      <c r="L223">
        <v>0.24</v>
      </c>
      <c r="M223">
        <v>3070</v>
      </c>
      <c r="N223" t="str">
        <f>TEXT(Table1[[#This Row],[Order_Date]],"mmm")</f>
        <v>Feb</v>
      </c>
      <c r="O223">
        <f>YEAR(Table1[[#This Row],[Order_Date]])</f>
        <v>2024</v>
      </c>
      <c r="P223">
        <f t="shared" si="3"/>
        <v>12121350</v>
      </c>
    </row>
    <row r="224" spans="1:16" hidden="1" x14ac:dyDescent="0.3">
      <c r="A224">
        <v>8223</v>
      </c>
      <c r="B224" s="6">
        <v>45453</v>
      </c>
      <c r="C224" t="s">
        <v>146</v>
      </c>
      <c r="D224" t="s">
        <v>49</v>
      </c>
      <c r="E224" t="s">
        <v>66</v>
      </c>
      <c r="F224" t="s">
        <v>67</v>
      </c>
      <c r="G224" t="s">
        <v>30</v>
      </c>
      <c r="H224" t="s">
        <v>18</v>
      </c>
      <c r="I224" t="s">
        <v>39</v>
      </c>
      <c r="J224">
        <v>43084</v>
      </c>
      <c r="K224">
        <v>3</v>
      </c>
      <c r="L224">
        <v>0.2</v>
      </c>
      <c r="M224">
        <v>7999</v>
      </c>
      <c r="N224" t="str">
        <f>TEXT(Table1[[#This Row],[Order_Date]],"mmm")</f>
        <v>Jun</v>
      </c>
      <c r="O224">
        <f>YEAR(Table1[[#This Row],[Order_Date]])</f>
        <v>2024</v>
      </c>
      <c r="P224">
        <f t="shared" si="3"/>
        <v>12121350</v>
      </c>
    </row>
    <row r="225" spans="1:16" hidden="1" x14ac:dyDescent="0.3">
      <c r="A225">
        <v>8224</v>
      </c>
      <c r="B225" s="6">
        <v>45328</v>
      </c>
      <c r="C225" t="s">
        <v>183</v>
      </c>
      <c r="D225" t="s">
        <v>49</v>
      </c>
      <c r="E225" t="s">
        <v>66</v>
      </c>
      <c r="F225" t="s">
        <v>67</v>
      </c>
      <c r="G225" t="s">
        <v>51</v>
      </c>
      <c r="H225" t="s">
        <v>44</v>
      </c>
      <c r="I225" t="s">
        <v>47</v>
      </c>
      <c r="J225">
        <v>16227</v>
      </c>
      <c r="K225">
        <v>2</v>
      </c>
      <c r="L225">
        <v>0.08</v>
      </c>
      <c r="M225">
        <v>3763</v>
      </c>
      <c r="N225" t="str">
        <f>TEXT(Table1[[#This Row],[Order_Date]],"mmm")</f>
        <v>Feb</v>
      </c>
      <c r="O225">
        <f>YEAR(Table1[[#This Row],[Order_Date]])</f>
        <v>2024</v>
      </c>
      <c r="P225">
        <f t="shared" si="3"/>
        <v>12121350</v>
      </c>
    </row>
    <row r="226" spans="1:16" hidden="1" x14ac:dyDescent="0.3">
      <c r="A226">
        <v>8225</v>
      </c>
      <c r="B226" s="6">
        <v>45366</v>
      </c>
      <c r="C226" t="s">
        <v>58</v>
      </c>
      <c r="D226" t="s">
        <v>49</v>
      </c>
      <c r="E226" t="s">
        <v>66</v>
      </c>
      <c r="F226" t="s">
        <v>67</v>
      </c>
      <c r="G226" t="s">
        <v>51</v>
      </c>
      <c r="H226" t="s">
        <v>18</v>
      </c>
      <c r="I226" t="s">
        <v>19</v>
      </c>
      <c r="J226">
        <v>49189</v>
      </c>
      <c r="K226">
        <v>5</v>
      </c>
      <c r="L226">
        <v>0.17</v>
      </c>
      <c r="M226">
        <v>11845</v>
      </c>
      <c r="N226" t="str">
        <f>TEXT(Table1[[#This Row],[Order_Date]],"mmm")</f>
        <v>Mar</v>
      </c>
      <c r="O226">
        <f>YEAR(Table1[[#This Row],[Order_Date]])</f>
        <v>2024</v>
      </c>
      <c r="P226">
        <f t="shared" si="3"/>
        <v>12121350</v>
      </c>
    </row>
    <row r="227" spans="1:16" hidden="1" x14ac:dyDescent="0.3">
      <c r="A227">
        <v>8226</v>
      </c>
      <c r="B227" s="6">
        <v>45353</v>
      </c>
      <c r="C227" t="s">
        <v>158</v>
      </c>
      <c r="D227" t="s">
        <v>49</v>
      </c>
      <c r="E227" t="s">
        <v>66</v>
      </c>
      <c r="F227" t="s">
        <v>67</v>
      </c>
      <c r="G227" t="s">
        <v>17</v>
      </c>
      <c r="H227" t="s">
        <v>44</v>
      </c>
      <c r="I227" t="s">
        <v>47</v>
      </c>
      <c r="J227">
        <v>16895</v>
      </c>
      <c r="K227">
        <v>4</v>
      </c>
      <c r="L227">
        <v>0.24</v>
      </c>
      <c r="M227">
        <v>3392</v>
      </c>
      <c r="N227" t="str">
        <f>TEXT(Table1[[#This Row],[Order_Date]],"mmm")</f>
        <v>Mar</v>
      </c>
      <c r="O227">
        <f>YEAR(Table1[[#This Row],[Order_Date]])</f>
        <v>2024</v>
      </c>
      <c r="P227">
        <f t="shared" si="3"/>
        <v>12121350</v>
      </c>
    </row>
    <row r="228" spans="1:16" hidden="1" x14ac:dyDescent="0.3">
      <c r="A228">
        <v>8227</v>
      </c>
      <c r="B228" s="6">
        <v>45373</v>
      </c>
      <c r="C228" t="s">
        <v>100</v>
      </c>
      <c r="D228" t="s">
        <v>49</v>
      </c>
      <c r="E228" t="s">
        <v>50</v>
      </c>
      <c r="F228" t="s">
        <v>50</v>
      </c>
      <c r="G228" t="s">
        <v>30</v>
      </c>
      <c r="H228" t="s">
        <v>22</v>
      </c>
      <c r="I228" t="s">
        <v>23</v>
      </c>
      <c r="J228">
        <v>42173</v>
      </c>
      <c r="K228">
        <v>16</v>
      </c>
      <c r="L228">
        <v>7.0000000000000007E-2</v>
      </c>
      <c r="M228">
        <v>5551</v>
      </c>
      <c r="N228" t="str">
        <f>TEXT(Table1[[#This Row],[Order_Date]],"mmm")</f>
        <v>Mar</v>
      </c>
      <c r="O228">
        <f>YEAR(Table1[[#This Row],[Order_Date]])</f>
        <v>2024</v>
      </c>
      <c r="P228">
        <f t="shared" si="3"/>
        <v>12121350</v>
      </c>
    </row>
    <row r="229" spans="1:16" hidden="1" x14ac:dyDescent="0.3">
      <c r="A229">
        <v>8228</v>
      </c>
      <c r="B229" s="6">
        <v>45438</v>
      </c>
      <c r="C229" t="s">
        <v>116</v>
      </c>
      <c r="D229" t="s">
        <v>49</v>
      </c>
      <c r="E229" t="s">
        <v>66</v>
      </c>
      <c r="F229" t="s">
        <v>67</v>
      </c>
      <c r="G229" t="s">
        <v>17</v>
      </c>
      <c r="H229" t="s">
        <v>44</v>
      </c>
      <c r="I229" t="s">
        <v>47</v>
      </c>
      <c r="J229">
        <v>11058</v>
      </c>
      <c r="K229">
        <v>17</v>
      </c>
      <c r="L229">
        <v>0.12</v>
      </c>
      <c r="M229">
        <v>1161</v>
      </c>
      <c r="N229" t="str">
        <f>TEXT(Table1[[#This Row],[Order_Date]],"mmm")</f>
        <v>May</v>
      </c>
      <c r="O229">
        <f>YEAR(Table1[[#This Row],[Order_Date]])</f>
        <v>2024</v>
      </c>
      <c r="P229">
        <f t="shared" si="3"/>
        <v>12121350</v>
      </c>
    </row>
    <row r="230" spans="1:16" x14ac:dyDescent="0.3">
      <c r="A230">
        <v>8229</v>
      </c>
      <c r="B230" s="6">
        <v>45430</v>
      </c>
      <c r="C230" t="s">
        <v>117</v>
      </c>
      <c r="D230" t="s">
        <v>26</v>
      </c>
      <c r="E230" t="s">
        <v>70</v>
      </c>
      <c r="F230" t="s">
        <v>71</v>
      </c>
      <c r="G230" t="s">
        <v>30</v>
      </c>
      <c r="H230" t="s">
        <v>18</v>
      </c>
      <c r="I230" t="s">
        <v>83</v>
      </c>
      <c r="J230">
        <v>17894</v>
      </c>
      <c r="K230">
        <v>14</v>
      </c>
      <c r="L230">
        <v>0.23</v>
      </c>
      <c r="M230">
        <v>3299</v>
      </c>
      <c r="N230" t="str">
        <f>TEXT(Table1[[#This Row],[Order_Date]],"mmm")</f>
        <v>May</v>
      </c>
      <c r="O230">
        <f>YEAR(Table1[[#This Row],[Order_Date]])</f>
        <v>2024</v>
      </c>
      <c r="P230">
        <f t="shared" si="3"/>
        <v>12121350</v>
      </c>
    </row>
    <row r="231" spans="1:16" hidden="1" x14ac:dyDescent="0.3">
      <c r="A231">
        <v>8230</v>
      </c>
      <c r="B231" s="6">
        <v>45432</v>
      </c>
      <c r="C231" t="s">
        <v>175</v>
      </c>
      <c r="D231" t="s">
        <v>49</v>
      </c>
      <c r="E231" t="s">
        <v>50</v>
      </c>
      <c r="F231" t="s">
        <v>50</v>
      </c>
      <c r="G231" t="s">
        <v>30</v>
      </c>
      <c r="H231" t="s">
        <v>22</v>
      </c>
      <c r="I231" t="s">
        <v>68</v>
      </c>
      <c r="J231">
        <v>32383</v>
      </c>
      <c r="K231">
        <v>15</v>
      </c>
      <c r="L231">
        <v>0.01</v>
      </c>
      <c r="M231">
        <v>3027</v>
      </c>
      <c r="N231" t="str">
        <f>TEXT(Table1[[#This Row],[Order_Date]],"mmm")</f>
        <v>May</v>
      </c>
      <c r="O231">
        <f>YEAR(Table1[[#This Row],[Order_Date]])</f>
        <v>2024</v>
      </c>
      <c r="P231">
        <f t="shared" si="3"/>
        <v>12121350</v>
      </c>
    </row>
    <row r="232" spans="1:16" hidden="1" x14ac:dyDescent="0.3">
      <c r="A232">
        <v>8231</v>
      </c>
      <c r="B232" s="6">
        <v>45326</v>
      </c>
      <c r="C232" t="s">
        <v>153</v>
      </c>
      <c r="D232" t="s">
        <v>14</v>
      </c>
      <c r="E232" t="s">
        <v>42</v>
      </c>
      <c r="F232" t="s">
        <v>43</v>
      </c>
      <c r="G232" t="s">
        <v>51</v>
      </c>
      <c r="H232" t="s">
        <v>18</v>
      </c>
      <c r="I232" t="s">
        <v>83</v>
      </c>
      <c r="J232">
        <v>66512</v>
      </c>
      <c r="K232">
        <v>17</v>
      </c>
      <c r="L232">
        <v>0.05</v>
      </c>
      <c r="M232">
        <v>6767</v>
      </c>
      <c r="N232" t="str">
        <f>TEXT(Table1[[#This Row],[Order_Date]],"mmm")</f>
        <v>Feb</v>
      </c>
      <c r="O232">
        <f>YEAR(Table1[[#This Row],[Order_Date]])</f>
        <v>2024</v>
      </c>
      <c r="P232">
        <f t="shared" si="3"/>
        <v>12121350</v>
      </c>
    </row>
    <row r="233" spans="1:16" hidden="1" x14ac:dyDescent="0.3">
      <c r="A233">
        <v>8232</v>
      </c>
      <c r="B233" s="6">
        <v>45347</v>
      </c>
      <c r="C233" t="s">
        <v>184</v>
      </c>
      <c r="D233" t="s">
        <v>33</v>
      </c>
      <c r="E233" t="s">
        <v>56</v>
      </c>
      <c r="F233" t="s">
        <v>57</v>
      </c>
      <c r="G233" t="s">
        <v>51</v>
      </c>
      <c r="H233" t="s">
        <v>18</v>
      </c>
      <c r="I233" t="s">
        <v>39</v>
      </c>
      <c r="J233">
        <v>42387</v>
      </c>
      <c r="K233">
        <v>15</v>
      </c>
      <c r="L233">
        <v>7.0000000000000007E-2</v>
      </c>
      <c r="M233">
        <v>9923</v>
      </c>
      <c r="N233" t="str">
        <f>TEXT(Table1[[#This Row],[Order_Date]],"mmm")</f>
        <v>Feb</v>
      </c>
      <c r="O233">
        <f>YEAR(Table1[[#This Row],[Order_Date]])</f>
        <v>2024</v>
      </c>
      <c r="P233">
        <f t="shared" si="3"/>
        <v>12121350</v>
      </c>
    </row>
    <row r="234" spans="1:16" hidden="1" x14ac:dyDescent="0.3">
      <c r="A234">
        <v>8233</v>
      </c>
      <c r="B234" s="6">
        <v>45326</v>
      </c>
      <c r="C234" t="s">
        <v>131</v>
      </c>
      <c r="D234" t="s">
        <v>26</v>
      </c>
      <c r="E234" t="s">
        <v>27</v>
      </c>
      <c r="F234" t="s">
        <v>28</v>
      </c>
      <c r="G234" t="s">
        <v>51</v>
      </c>
      <c r="H234" t="s">
        <v>22</v>
      </c>
      <c r="I234" t="s">
        <v>23</v>
      </c>
      <c r="J234">
        <v>56573</v>
      </c>
      <c r="K234">
        <v>8</v>
      </c>
      <c r="L234">
        <v>0.08</v>
      </c>
      <c r="M234">
        <v>12719</v>
      </c>
      <c r="N234" t="str">
        <f>TEXT(Table1[[#This Row],[Order_Date]],"mmm")</f>
        <v>Feb</v>
      </c>
      <c r="O234">
        <f>YEAR(Table1[[#This Row],[Order_Date]])</f>
        <v>2024</v>
      </c>
      <c r="P234">
        <f t="shared" si="3"/>
        <v>12121350</v>
      </c>
    </row>
    <row r="235" spans="1:16" hidden="1" x14ac:dyDescent="0.3">
      <c r="A235">
        <v>8234</v>
      </c>
      <c r="B235" s="6">
        <v>45414</v>
      </c>
      <c r="C235" t="s">
        <v>37</v>
      </c>
      <c r="D235" t="s">
        <v>49</v>
      </c>
      <c r="E235" t="s">
        <v>50</v>
      </c>
      <c r="F235" t="s">
        <v>50</v>
      </c>
      <c r="G235" t="s">
        <v>51</v>
      </c>
      <c r="H235" t="s">
        <v>22</v>
      </c>
      <c r="I235" t="s">
        <v>23</v>
      </c>
      <c r="J235">
        <v>14563</v>
      </c>
      <c r="K235">
        <v>16</v>
      </c>
      <c r="L235">
        <v>0.19</v>
      </c>
      <c r="M235">
        <v>2814</v>
      </c>
      <c r="N235" t="str">
        <f>TEXT(Table1[[#This Row],[Order_Date]],"mmm")</f>
        <v>May</v>
      </c>
      <c r="O235">
        <f>YEAR(Table1[[#This Row],[Order_Date]])</f>
        <v>2024</v>
      </c>
      <c r="P235">
        <f t="shared" si="3"/>
        <v>12121350</v>
      </c>
    </row>
    <row r="236" spans="1:16" hidden="1" x14ac:dyDescent="0.3">
      <c r="A236">
        <v>8235</v>
      </c>
      <c r="B236" s="6">
        <v>45328</v>
      </c>
      <c r="C236" t="s">
        <v>133</v>
      </c>
      <c r="D236" t="s">
        <v>14</v>
      </c>
      <c r="E236" t="s">
        <v>42</v>
      </c>
      <c r="F236" t="s">
        <v>43</v>
      </c>
      <c r="G236" t="s">
        <v>17</v>
      </c>
      <c r="H236" t="s">
        <v>44</v>
      </c>
      <c r="I236" t="s">
        <v>45</v>
      </c>
      <c r="J236">
        <v>14148</v>
      </c>
      <c r="K236">
        <v>19</v>
      </c>
      <c r="L236">
        <v>0.1</v>
      </c>
      <c r="M236">
        <v>3292</v>
      </c>
      <c r="N236" t="str">
        <f>TEXT(Table1[[#This Row],[Order_Date]],"mmm")</f>
        <v>Feb</v>
      </c>
      <c r="O236">
        <f>YEAR(Table1[[#This Row],[Order_Date]])</f>
        <v>2024</v>
      </c>
      <c r="P236">
        <f t="shared" si="3"/>
        <v>12121350</v>
      </c>
    </row>
    <row r="237" spans="1:16" hidden="1" x14ac:dyDescent="0.3">
      <c r="A237">
        <v>8236</v>
      </c>
      <c r="B237" s="6">
        <v>45338</v>
      </c>
      <c r="C237" t="s">
        <v>166</v>
      </c>
      <c r="D237" t="s">
        <v>26</v>
      </c>
      <c r="E237" t="s">
        <v>27</v>
      </c>
      <c r="F237" t="s">
        <v>28</v>
      </c>
      <c r="G237" t="s">
        <v>51</v>
      </c>
      <c r="H237" t="s">
        <v>44</v>
      </c>
      <c r="I237" t="s">
        <v>45</v>
      </c>
      <c r="J237">
        <v>58692</v>
      </c>
      <c r="K237">
        <v>14</v>
      </c>
      <c r="L237">
        <v>0.02</v>
      </c>
      <c r="M237">
        <v>11117</v>
      </c>
      <c r="N237" t="str">
        <f>TEXT(Table1[[#This Row],[Order_Date]],"mmm")</f>
        <v>Feb</v>
      </c>
      <c r="O237">
        <f>YEAR(Table1[[#This Row],[Order_Date]])</f>
        <v>2024</v>
      </c>
      <c r="P237">
        <f t="shared" si="3"/>
        <v>12121350</v>
      </c>
    </row>
    <row r="238" spans="1:16" hidden="1" x14ac:dyDescent="0.3">
      <c r="A238">
        <v>8237</v>
      </c>
      <c r="B238" s="6">
        <v>45412</v>
      </c>
      <c r="C238" t="s">
        <v>185</v>
      </c>
      <c r="D238" t="s">
        <v>14</v>
      </c>
      <c r="E238" t="s">
        <v>42</v>
      </c>
      <c r="F238" t="s">
        <v>43</v>
      </c>
      <c r="G238" t="s">
        <v>30</v>
      </c>
      <c r="H238" t="s">
        <v>44</v>
      </c>
      <c r="I238" t="s">
        <v>45</v>
      </c>
      <c r="J238">
        <v>34493</v>
      </c>
      <c r="K238">
        <v>7</v>
      </c>
      <c r="L238">
        <v>0.16</v>
      </c>
      <c r="M238">
        <v>2654</v>
      </c>
      <c r="N238" t="str">
        <f>TEXT(Table1[[#This Row],[Order_Date]],"mmm")</f>
        <v>Apr</v>
      </c>
      <c r="O238">
        <f>YEAR(Table1[[#This Row],[Order_Date]])</f>
        <v>2024</v>
      </c>
      <c r="P238">
        <f t="shared" si="3"/>
        <v>12121350</v>
      </c>
    </row>
    <row r="239" spans="1:16" hidden="1" x14ac:dyDescent="0.3">
      <c r="A239">
        <v>8238</v>
      </c>
      <c r="B239" s="6">
        <v>45305</v>
      </c>
      <c r="C239" t="s">
        <v>174</v>
      </c>
      <c r="D239" t="s">
        <v>14</v>
      </c>
      <c r="E239" t="s">
        <v>15</v>
      </c>
      <c r="F239" t="s">
        <v>16</v>
      </c>
      <c r="G239" t="s">
        <v>30</v>
      </c>
      <c r="H239" t="s">
        <v>44</v>
      </c>
      <c r="I239" t="s">
        <v>47</v>
      </c>
      <c r="J239">
        <v>5608</v>
      </c>
      <c r="K239">
        <v>3</v>
      </c>
      <c r="L239">
        <v>0.28000000000000003</v>
      </c>
      <c r="M239">
        <v>613</v>
      </c>
      <c r="N239" t="str">
        <f>TEXT(Table1[[#This Row],[Order_Date]],"mmm")</f>
        <v>Jan</v>
      </c>
      <c r="O239">
        <f>YEAR(Table1[[#This Row],[Order_Date]])</f>
        <v>2024</v>
      </c>
      <c r="P239">
        <f t="shared" si="3"/>
        <v>12121350</v>
      </c>
    </row>
    <row r="240" spans="1:16" hidden="1" x14ac:dyDescent="0.3">
      <c r="A240">
        <v>8239</v>
      </c>
      <c r="B240" s="6">
        <v>45398</v>
      </c>
      <c r="C240" t="s">
        <v>161</v>
      </c>
      <c r="D240" t="s">
        <v>26</v>
      </c>
      <c r="E240" t="s">
        <v>70</v>
      </c>
      <c r="F240" t="s">
        <v>71</v>
      </c>
      <c r="G240" t="s">
        <v>51</v>
      </c>
      <c r="H240" t="s">
        <v>18</v>
      </c>
      <c r="I240" t="s">
        <v>19</v>
      </c>
      <c r="J240">
        <v>41011</v>
      </c>
      <c r="K240">
        <v>14</v>
      </c>
      <c r="L240">
        <v>0.17</v>
      </c>
      <c r="M240">
        <v>6688</v>
      </c>
      <c r="N240" t="str">
        <f>TEXT(Table1[[#This Row],[Order_Date]],"mmm")</f>
        <v>Apr</v>
      </c>
      <c r="O240">
        <f>YEAR(Table1[[#This Row],[Order_Date]])</f>
        <v>2024</v>
      </c>
      <c r="P240">
        <f t="shared" si="3"/>
        <v>12121350</v>
      </c>
    </row>
    <row r="241" spans="1:16" hidden="1" x14ac:dyDescent="0.3">
      <c r="A241">
        <v>8240</v>
      </c>
      <c r="B241" s="6">
        <v>45381</v>
      </c>
      <c r="C241" t="s">
        <v>72</v>
      </c>
      <c r="D241" t="s">
        <v>26</v>
      </c>
      <c r="E241" t="s">
        <v>27</v>
      </c>
      <c r="F241" t="s">
        <v>28</v>
      </c>
      <c r="G241" t="s">
        <v>17</v>
      </c>
      <c r="H241" t="s">
        <v>18</v>
      </c>
      <c r="I241" t="s">
        <v>83</v>
      </c>
      <c r="J241">
        <v>72986</v>
      </c>
      <c r="K241">
        <v>10</v>
      </c>
      <c r="L241">
        <v>0.06</v>
      </c>
      <c r="M241">
        <v>13790</v>
      </c>
      <c r="N241" t="str">
        <f>TEXT(Table1[[#This Row],[Order_Date]],"mmm")</f>
        <v>Mar</v>
      </c>
      <c r="O241">
        <f>YEAR(Table1[[#This Row],[Order_Date]])</f>
        <v>2024</v>
      </c>
      <c r="P241">
        <f t="shared" si="3"/>
        <v>12121350</v>
      </c>
    </row>
    <row r="242" spans="1:16" hidden="1" x14ac:dyDescent="0.3">
      <c r="A242">
        <v>8241</v>
      </c>
      <c r="B242" s="6">
        <v>45437</v>
      </c>
      <c r="C242" t="s">
        <v>52</v>
      </c>
      <c r="D242" t="s">
        <v>26</v>
      </c>
      <c r="E242" t="s">
        <v>70</v>
      </c>
      <c r="F242" t="s">
        <v>71</v>
      </c>
      <c r="G242" t="s">
        <v>51</v>
      </c>
      <c r="H242" t="s">
        <v>22</v>
      </c>
      <c r="I242" t="s">
        <v>23</v>
      </c>
      <c r="J242">
        <v>35121</v>
      </c>
      <c r="K242">
        <v>6</v>
      </c>
      <c r="L242">
        <v>0.28999999999999998</v>
      </c>
      <c r="M242">
        <v>5870</v>
      </c>
      <c r="N242" t="str">
        <f>TEXT(Table1[[#This Row],[Order_Date]],"mmm")</f>
        <v>May</v>
      </c>
      <c r="O242">
        <f>YEAR(Table1[[#This Row],[Order_Date]])</f>
        <v>2024</v>
      </c>
      <c r="P242">
        <f t="shared" si="3"/>
        <v>12121350</v>
      </c>
    </row>
    <row r="243" spans="1:16" hidden="1" x14ac:dyDescent="0.3">
      <c r="A243">
        <v>8242</v>
      </c>
      <c r="B243" s="6">
        <v>45359</v>
      </c>
      <c r="C243" t="s">
        <v>186</v>
      </c>
      <c r="D243" t="s">
        <v>14</v>
      </c>
      <c r="E243" t="s">
        <v>15</v>
      </c>
      <c r="F243" t="s">
        <v>16</v>
      </c>
      <c r="G243" t="s">
        <v>30</v>
      </c>
      <c r="H243" t="s">
        <v>18</v>
      </c>
      <c r="I243" t="s">
        <v>19</v>
      </c>
      <c r="J243">
        <v>21825</v>
      </c>
      <c r="K243">
        <v>16</v>
      </c>
      <c r="L243">
        <v>0.24</v>
      </c>
      <c r="M243">
        <v>4772</v>
      </c>
      <c r="N243" t="str">
        <f>TEXT(Table1[[#This Row],[Order_Date]],"mmm")</f>
        <v>Mar</v>
      </c>
      <c r="O243">
        <f>YEAR(Table1[[#This Row],[Order_Date]])</f>
        <v>2024</v>
      </c>
      <c r="P243">
        <f t="shared" si="3"/>
        <v>12121350</v>
      </c>
    </row>
    <row r="244" spans="1:16" hidden="1" x14ac:dyDescent="0.3">
      <c r="A244">
        <v>8243</v>
      </c>
      <c r="B244" s="6">
        <v>45330</v>
      </c>
      <c r="C244" t="s">
        <v>131</v>
      </c>
      <c r="D244" t="s">
        <v>49</v>
      </c>
      <c r="E244" t="s">
        <v>50</v>
      </c>
      <c r="F244" t="s">
        <v>50</v>
      </c>
      <c r="G244" t="s">
        <v>17</v>
      </c>
      <c r="H244" t="s">
        <v>44</v>
      </c>
      <c r="I244" t="s">
        <v>87</v>
      </c>
      <c r="J244">
        <v>59573</v>
      </c>
      <c r="K244">
        <v>14</v>
      </c>
      <c r="L244">
        <v>0.28999999999999998</v>
      </c>
      <c r="M244">
        <v>14445</v>
      </c>
      <c r="N244" t="str">
        <f>TEXT(Table1[[#This Row],[Order_Date]],"mmm")</f>
        <v>Feb</v>
      </c>
      <c r="O244">
        <f>YEAR(Table1[[#This Row],[Order_Date]])</f>
        <v>2024</v>
      </c>
      <c r="P244">
        <f t="shared" si="3"/>
        <v>12121350</v>
      </c>
    </row>
    <row r="245" spans="1:16" hidden="1" x14ac:dyDescent="0.3">
      <c r="A245">
        <v>8244</v>
      </c>
      <c r="B245" s="6">
        <v>45308</v>
      </c>
      <c r="C245" t="s">
        <v>174</v>
      </c>
      <c r="D245" t="s">
        <v>49</v>
      </c>
      <c r="E245" t="s">
        <v>50</v>
      </c>
      <c r="F245" t="s">
        <v>50</v>
      </c>
      <c r="G245" t="s">
        <v>17</v>
      </c>
      <c r="H245" t="s">
        <v>44</v>
      </c>
      <c r="I245" t="s">
        <v>47</v>
      </c>
      <c r="J245">
        <v>57660</v>
      </c>
      <c r="K245">
        <v>19</v>
      </c>
      <c r="L245">
        <v>0.06</v>
      </c>
      <c r="M245">
        <v>5594</v>
      </c>
      <c r="N245" t="str">
        <f>TEXT(Table1[[#This Row],[Order_Date]],"mmm")</f>
        <v>Jan</v>
      </c>
      <c r="O245">
        <f>YEAR(Table1[[#This Row],[Order_Date]])</f>
        <v>2024</v>
      </c>
      <c r="P245">
        <f t="shared" si="3"/>
        <v>12121350</v>
      </c>
    </row>
    <row r="246" spans="1:16" hidden="1" x14ac:dyDescent="0.3">
      <c r="A246">
        <v>8245</v>
      </c>
      <c r="B246" s="6">
        <v>45469</v>
      </c>
      <c r="C246" t="s">
        <v>21</v>
      </c>
      <c r="D246" t="s">
        <v>14</v>
      </c>
      <c r="E246" t="s">
        <v>42</v>
      </c>
      <c r="F246" t="s">
        <v>43</v>
      </c>
      <c r="G246" t="s">
        <v>51</v>
      </c>
      <c r="H246" t="s">
        <v>22</v>
      </c>
      <c r="I246" t="s">
        <v>36</v>
      </c>
      <c r="J246">
        <v>38796</v>
      </c>
      <c r="K246">
        <v>1</v>
      </c>
      <c r="L246">
        <v>0.04</v>
      </c>
      <c r="M246">
        <v>9691</v>
      </c>
      <c r="N246" t="str">
        <f>TEXT(Table1[[#This Row],[Order_Date]],"mmm")</f>
        <v>Jun</v>
      </c>
      <c r="O246">
        <f>YEAR(Table1[[#This Row],[Order_Date]])</f>
        <v>2024</v>
      </c>
      <c r="P246">
        <f t="shared" si="3"/>
        <v>12121350</v>
      </c>
    </row>
    <row r="247" spans="1:16" x14ac:dyDescent="0.3">
      <c r="A247">
        <v>8246</v>
      </c>
      <c r="B247" s="6">
        <v>45323</v>
      </c>
      <c r="C247" t="s">
        <v>155</v>
      </c>
      <c r="D247" t="s">
        <v>26</v>
      </c>
      <c r="E247" t="s">
        <v>70</v>
      </c>
      <c r="F247" t="s">
        <v>71</v>
      </c>
      <c r="G247" t="s">
        <v>30</v>
      </c>
      <c r="H247" t="s">
        <v>22</v>
      </c>
      <c r="I247" t="s">
        <v>68</v>
      </c>
      <c r="J247">
        <v>59851</v>
      </c>
      <c r="K247">
        <v>7</v>
      </c>
      <c r="L247">
        <v>0.09</v>
      </c>
      <c r="M247">
        <v>13437</v>
      </c>
      <c r="N247" t="str">
        <f>TEXT(Table1[[#This Row],[Order_Date]],"mmm")</f>
        <v>Feb</v>
      </c>
      <c r="O247">
        <f>YEAR(Table1[[#This Row],[Order_Date]])</f>
        <v>2024</v>
      </c>
      <c r="P247">
        <f t="shared" si="3"/>
        <v>12121350</v>
      </c>
    </row>
    <row r="248" spans="1:16" hidden="1" x14ac:dyDescent="0.3">
      <c r="A248">
        <v>8247</v>
      </c>
      <c r="B248" s="6">
        <v>45340</v>
      </c>
      <c r="C248" t="s">
        <v>91</v>
      </c>
      <c r="D248" t="s">
        <v>33</v>
      </c>
      <c r="E248" t="s">
        <v>34</v>
      </c>
      <c r="F248" t="s">
        <v>35</v>
      </c>
      <c r="G248" t="s">
        <v>30</v>
      </c>
      <c r="H248" t="s">
        <v>44</v>
      </c>
      <c r="I248" t="s">
        <v>47</v>
      </c>
      <c r="J248">
        <v>30098</v>
      </c>
      <c r="K248">
        <v>11</v>
      </c>
      <c r="L248">
        <v>0.18</v>
      </c>
      <c r="M248">
        <v>5491</v>
      </c>
      <c r="N248" t="str">
        <f>TEXT(Table1[[#This Row],[Order_Date]],"mmm")</f>
        <v>Feb</v>
      </c>
      <c r="O248">
        <f>YEAR(Table1[[#This Row],[Order_Date]])</f>
        <v>2024</v>
      </c>
      <c r="P248">
        <f t="shared" si="3"/>
        <v>12121350</v>
      </c>
    </row>
    <row r="249" spans="1:16" hidden="1" x14ac:dyDescent="0.3">
      <c r="A249">
        <v>8248</v>
      </c>
      <c r="B249" s="6">
        <v>45375</v>
      </c>
      <c r="C249" t="s">
        <v>178</v>
      </c>
      <c r="D249" t="s">
        <v>26</v>
      </c>
      <c r="E249" t="s">
        <v>27</v>
      </c>
      <c r="F249" t="s">
        <v>28</v>
      </c>
      <c r="G249" t="s">
        <v>51</v>
      </c>
      <c r="H249" t="s">
        <v>18</v>
      </c>
      <c r="I249" t="s">
        <v>19</v>
      </c>
      <c r="J249">
        <v>16694</v>
      </c>
      <c r="K249">
        <v>4</v>
      </c>
      <c r="L249">
        <v>0.02</v>
      </c>
      <c r="M249">
        <v>1140</v>
      </c>
      <c r="N249" t="str">
        <f>TEXT(Table1[[#This Row],[Order_Date]],"mmm")</f>
        <v>Mar</v>
      </c>
      <c r="O249">
        <f>YEAR(Table1[[#This Row],[Order_Date]])</f>
        <v>2024</v>
      </c>
      <c r="P249">
        <f t="shared" si="3"/>
        <v>12121350</v>
      </c>
    </row>
    <row r="250" spans="1:16" hidden="1" x14ac:dyDescent="0.3">
      <c r="A250">
        <v>8249</v>
      </c>
      <c r="B250" s="6">
        <v>45469</v>
      </c>
      <c r="C250" t="s">
        <v>187</v>
      </c>
      <c r="D250" t="s">
        <v>49</v>
      </c>
      <c r="E250" t="s">
        <v>50</v>
      </c>
      <c r="F250" t="s">
        <v>50</v>
      </c>
      <c r="G250" t="s">
        <v>17</v>
      </c>
      <c r="H250" t="s">
        <v>44</v>
      </c>
      <c r="I250" t="s">
        <v>45</v>
      </c>
      <c r="J250">
        <v>52818</v>
      </c>
      <c r="K250">
        <v>13</v>
      </c>
      <c r="L250">
        <v>0.25</v>
      </c>
      <c r="M250">
        <v>2683</v>
      </c>
      <c r="N250" t="str">
        <f>TEXT(Table1[[#This Row],[Order_Date]],"mmm")</f>
        <v>Jun</v>
      </c>
      <c r="O250">
        <f>YEAR(Table1[[#This Row],[Order_Date]])</f>
        <v>2024</v>
      </c>
      <c r="P250">
        <f t="shared" si="3"/>
        <v>12121350</v>
      </c>
    </row>
    <row r="251" spans="1:16" hidden="1" x14ac:dyDescent="0.3">
      <c r="A251">
        <v>8250</v>
      </c>
      <c r="B251" s="6">
        <v>45413</v>
      </c>
      <c r="C251" t="s">
        <v>63</v>
      </c>
      <c r="D251" t="s">
        <v>49</v>
      </c>
      <c r="E251" t="s">
        <v>66</v>
      </c>
      <c r="F251" t="s">
        <v>67</v>
      </c>
      <c r="G251" t="s">
        <v>17</v>
      </c>
      <c r="H251" t="s">
        <v>44</v>
      </c>
      <c r="I251" t="s">
        <v>47</v>
      </c>
      <c r="J251">
        <v>50490</v>
      </c>
      <c r="K251">
        <v>4</v>
      </c>
      <c r="L251">
        <v>0.05</v>
      </c>
      <c r="M251">
        <v>9469</v>
      </c>
      <c r="N251" t="str">
        <f>TEXT(Table1[[#This Row],[Order_Date]],"mmm")</f>
        <v>May</v>
      </c>
      <c r="O251">
        <f>YEAR(Table1[[#This Row],[Order_Date]])</f>
        <v>2024</v>
      </c>
      <c r="P251">
        <f t="shared" si="3"/>
        <v>12121350</v>
      </c>
    </row>
    <row r="252" spans="1:16" hidden="1" x14ac:dyDescent="0.3">
      <c r="A252">
        <v>8251</v>
      </c>
      <c r="B252" s="6">
        <v>45387</v>
      </c>
      <c r="C252" t="s">
        <v>73</v>
      </c>
      <c r="D252" t="s">
        <v>14</v>
      </c>
      <c r="E252" t="s">
        <v>15</v>
      </c>
      <c r="F252" t="s">
        <v>16</v>
      </c>
      <c r="G252" t="s">
        <v>30</v>
      </c>
      <c r="H252" t="s">
        <v>22</v>
      </c>
      <c r="I252" t="s">
        <v>23</v>
      </c>
      <c r="J252">
        <v>1733</v>
      </c>
      <c r="K252">
        <v>20</v>
      </c>
      <c r="L252">
        <v>0.09</v>
      </c>
      <c r="M252">
        <v>401</v>
      </c>
      <c r="N252" t="str">
        <f>TEXT(Table1[[#This Row],[Order_Date]],"mmm")</f>
        <v>Apr</v>
      </c>
      <c r="O252">
        <f>YEAR(Table1[[#This Row],[Order_Date]])</f>
        <v>2024</v>
      </c>
      <c r="P252">
        <f t="shared" si="3"/>
        <v>12121350</v>
      </c>
    </row>
    <row r="253" spans="1:16" hidden="1" x14ac:dyDescent="0.3">
      <c r="A253">
        <v>8252</v>
      </c>
      <c r="B253" s="6">
        <v>45421</v>
      </c>
      <c r="C253" t="s">
        <v>179</v>
      </c>
      <c r="D253" t="s">
        <v>26</v>
      </c>
      <c r="E253" t="s">
        <v>70</v>
      </c>
      <c r="F253" t="s">
        <v>71</v>
      </c>
      <c r="G253" t="s">
        <v>51</v>
      </c>
      <c r="H253" t="s">
        <v>44</v>
      </c>
      <c r="I253" t="s">
        <v>87</v>
      </c>
      <c r="J253">
        <v>32496</v>
      </c>
      <c r="K253">
        <v>3</v>
      </c>
      <c r="L253">
        <v>0.06</v>
      </c>
      <c r="M253">
        <v>3584</v>
      </c>
      <c r="N253" t="str">
        <f>TEXT(Table1[[#This Row],[Order_Date]],"mmm")</f>
        <v>May</v>
      </c>
      <c r="O253">
        <f>YEAR(Table1[[#This Row],[Order_Date]])</f>
        <v>2024</v>
      </c>
      <c r="P253">
        <f t="shared" si="3"/>
        <v>12121350</v>
      </c>
    </row>
    <row r="254" spans="1:16" hidden="1" x14ac:dyDescent="0.3">
      <c r="A254">
        <v>8253</v>
      </c>
      <c r="B254" s="6">
        <v>45412</v>
      </c>
      <c r="C254" t="s">
        <v>139</v>
      </c>
      <c r="D254" t="s">
        <v>33</v>
      </c>
      <c r="E254" t="s">
        <v>34</v>
      </c>
      <c r="F254" t="s">
        <v>35</v>
      </c>
      <c r="G254" t="s">
        <v>51</v>
      </c>
      <c r="H254" t="s">
        <v>22</v>
      </c>
      <c r="I254" t="s">
        <v>23</v>
      </c>
      <c r="J254">
        <v>54614</v>
      </c>
      <c r="K254">
        <v>20</v>
      </c>
      <c r="L254">
        <v>0.19</v>
      </c>
      <c r="M254">
        <v>10726</v>
      </c>
      <c r="N254" t="str">
        <f>TEXT(Table1[[#This Row],[Order_Date]],"mmm")</f>
        <v>Apr</v>
      </c>
      <c r="O254">
        <f>YEAR(Table1[[#This Row],[Order_Date]])</f>
        <v>2024</v>
      </c>
      <c r="P254">
        <f t="shared" si="3"/>
        <v>12121350</v>
      </c>
    </row>
    <row r="255" spans="1:16" hidden="1" x14ac:dyDescent="0.3">
      <c r="A255">
        <v>8254</v>
      </c>
      <c r="B255" s="6">
        <v>45351</v>
      </c>
      <c r="C255" t="s">
        <v>149</v>
      </c>
      <c r="D255" t="s">
        <v>33</v>
      </c>
      <c r="E255" t="s">
        <v>56</v>
      </c>
      <c r="F255" t="s">
        <v>57</v>
      </c>
      <c r="G255" t="s">
        <v>51</v>
      </c>
      <c r="H255" t="s">
        <v>22</v>
      </c>
      <c r="I255" t="s">
        <v>23</v>
      </c>
      <c r="J255">
        <v>2901</v>
      </c>
      <c r="K255">
        <v>4</v>
      </c>
      <c r="L255">
        <v>0.08</v>
      </c>
      <c r="M255">
        <v>708</v>
      </c>
      <c r="N255" t="str">
        <f>TEXT(Table1[[#This Row],[Order_Date]],"mmm")</f>
        <v>Feb</v>
      </c>
      <c r="O255">
        <f>YEAR(Table1[[#This Row],[Order_Date]])</f>
        <v>2024</v>
      </c>
      <c r="P255">
        <f t="shared" si="3"/>
        <v>12121350</v>
      </c>
    </row>
    <row r="256" spans="1:16" hidden="1" x14ac:dyDescent="0.3">
      <c r="A256">
        <v>8255</v>
      </c>
      <c r="B256" s="6">
        <v>45378</v>
      </c>
      <c r="C256" t="s">
        <v>104</v>
      </c>
      <c r="D256" t="s">
        <v>49</v>
      </c>
      <c r="E256" t="s">
        <v>66</v>
      </c>
      <c r="F256" t="s">
        <v>67</v>
      </c>
      <c r="G256" t="s">
        <v>17</v>
      </c>
      <c r="H256" t="s">
        <v>18</v>
      </c>
      <c r="I256" t="s">
        <v>39</v>
      </c>
      <c r="J256">
        <v>47679</v>
      </c>
      <c r="K256">
        <v>7</v>
      </c>
      <c r="L256">
        <v>0.13</v>
      </c>
      <c r="M256">
        <v>6873</v>
      </c>
      <c r="N256" t="str">
        <f>TEXT(Table1[[#This Row],[Order_Date]],"mmm")</f>
        <v>Mar</v>
      </c>
      <c r="O256">
        <f>YEAR(Table1[[#This Row],[Order_Date]])</f>
        <v>2024</v>
      </c>
      <c r="P256">
        <f t="shared" si="3"/>
        <v>12121350</v>
      </c>
    </row>
    <row r="257" spans="1:16" hidden="1" x14ac:dyDescent="0.3">
      <c r="A257">
        <v>8256</v>
      </c>
      <c r="B257" s="6">
        <v>45344</v>
      </c>
      <c r="C257" t="s">
        <v>123</v>
      </c>
      <c r="D257" t="s">
        <v>33</v>
      </c>
      <c r="E257" t="s">
        <v>34</v>
      </c>
      <c r="F257" t="s">
        <v>35</v>
      </c>
      <c r="G257" t="s">
        <v>51</v>
      </c>
      <c r="H257" t="s">
        <v>44</v>
      </c>
      <c r="I257" t="s">
        <v>87</v>
      </c>
      <c r="J257">
        <v>7720</v>
      </c>
      <c r="K257">
        <v>18</v>
      </c>
      <c r="L257">
        <v>0.06</v>
      </c>
      <c r="M257">
        <v>972</v>
      </c>
      <c r="N257" t="str">
        <f>TEXT(Table1[[#This Row],[Order_Date]],"mmm")</f>
        <v>Feb</v>
      </c>
      <c r="O257">
        <f>YEAR(Table1[[#This Row],[Order_Date]])</f>
        <v>2024</v>
      </c>
      <c r="P257">
        <f t="shared" si="3"/>
        <v>12121350</v>
      </c>
    </row>
    <row r="258" spans="1:16" x14ac:dyDescent="0.3">
      <c r="A258">
        <v>8257</v>
      </c>
      <c r="B258" s="6">
        <v>45333</v>
      </c>
      <c r="C258" t="s">
        <v>141</v>
      </c>
      <c r="D258" t="s">
        <v>26</v>
      </c>
      <c r="E258" t="s">
        <v>70</v>
      </c>
      <c r="F258" t="s">
        <v>71</v>
      </c>
      <c r="G258" t="s">
        <v>30</v>
      </c>
      <c r="H258" t="s">
        <v>22</v>
      </c>
      <c r="I258" t="s">
        <v>68</v>
      </c>
      <c r="J258">
        <v>21771</v>
      </c>
      <c r="K258">
        <v>3</v>
      </c>
      <c r="L258">
        <v>0.18</v>
      </c>
      <c r="M258">
        <v>4907</v>
      </c>
      <c r="N258" t="str">
        <f>TEXT(Table1[[#This Row],[Order_Date]],"mmm")</f>
        <v>Feb</v>
      </c>
      <c r="O258">
        <f>YEAR(Table1[[#This Row],[Order_Date]])</f>
        <v>2024</v>
      </c>
      <c r="P258">
        <f t="shared" ref="P258:P301" si="4">SUM(J:J)</f>
        <v>12121350</v>
      </c>
    </row>
    <row r="259" spans="1:16" hidden="1" x14ac:dyDescent="0.3">
      <c r="A259">
        <v>8258</v>
      </c>
      <c r="B259" s="6">
        <v>45405</v>
      </c>
      <c r="C259" t="s">
        <v>125</v>
      </c>
      <c r="D259" t="s">
        <v>26</v>
      </c>
      <c r="E259" t="s">
        <v>70</v>
      </c>
      <c r="F259" t="s">
        <v>71</v>
      </c>
      <c r="G259" t="s">
        <v>51</v>
      </c>
      <c r="H259" t="s">
        <v>44</v>
      </c>
      <c r="I259" t="s">
        <v>45</v>
      </c>
      <c r="J259">
        <v>31155</v>
      </c>
      <c r="K259">
        <v>2</v>
      </c>
      <c r="L259">
        <v>0.02</v>
      </c>
      <c r="M259">
        <v>1886</v>
      </c>
      <c r="N259" t="str">
        <f>TEXT(Table1[[#This Row],[Order_Date]],"mmm")</f>
        <v>Apr</v>
      </c>
      <c r="O259">
        <f>YEAR(Table1[[#This Row],[Order_Date]])</f>
        <v>2024</v>
      </c>
      <c r="P259">
        <f t="shared" si="4"/>
        <v>12121350</v>
      </c>
    </row>
    <row r="260" spans="1:16" hidden="1" x14ac:dyDescent="0.3">
      <c r="A260">
        <v>8259</v>
      </c>
      <c r="B260" s="6">
        <v>45319</v>
      </c>
      <c r="C260" t="s">
        <v>138</v>
      </c>
      <c r="D260" t="s">
        <v>33</v>
      </c>
      <c r="E260" t="s">
        <v>56</v>
      </c>
      <c r="F260" t="s">
        <v>57</v>
      </c>
      <c r="G260" t="s">
        <v>51</v>
      </c>
      <c r="H260" t="s">
        <v>44</v>
      </c>
      <c r="I260" t="s">
        <v>87</v>
      </c>
      <c r="J260">
        <v>61554</v>
      </c>
      <c r="K260">
        <v>4</v>
      </c>
      <c r="L260">
        <v>0.08</v>
      </c>
      <c r="M260">
        <v>3643</v>
      </c>
      <c r="N260" t="str">
        <f>TEXT(Table1[[#This Row],[Order_Date]],"mmm")</f>
        <v>Jan</v>
      </c>
      <c r="O260">
        <f>YEAR(Table1[[#This Row],[Order_Date]])</f>
        <v>2024</v>
      </c>
      <c r="P260">
        <f t="shared" si="4"/>
        <v>12121350</v>
      </c>
    </row>
    <row r="261" spans="1:16" hidden="1" x14ac:dyDescent="0.3">
      <c r="A261">
        <v>8260</v>
      </c>
      <c r="B261" s="6">
        <v>45336</v>
      </c>
      <c r="C261" t="s">
        <v>107</v>
      </c>
      <c r="D261" t="s">
        <v>14</v>
      </c>
      <c r="E261" t="s">
        <v>42</v>
      </c>
      <c r="F261" t="s">
        <v>43</v>
      </c>
      <c r="G261" t="s">
        <v>30</v>
      </c>
      <c r="H261" t="s">
        <v>22</v>
      </c>
      <c r="I261" t="s">
        <v>68</v>
      </c>
      <c r="J261">
        <v>59467</v>
      </c>
      <c r="K261">
        <v>6</v>
      </c>
      <c r="L261">
        <v>0.02</v>
      </c>
      <c r="M261">
        <v>5713</v>
      </c>
      <c r="N261" t="str">
        <f>TEXT(Table1[[#This Row],[Order_Date]],"mmm")</f>
        <v>Feb</v>
      </c>
      <c r="O261">
        <f>YEAR(Table1[[#This Row],[Order_Date]])</f>
        <v>2024</v>
      </c>
      <c r="P261">
        <f t="shared" si="4"/>
        <v>12121350</v>
      </c>
    </row>
    <row r="262" spans="1:16" hidden="1" x14ac:dyDescent="0.3">
      <c r="A262">
        <v>8261</v>
      </c>
      <c r="B262" s="6">
        <v>45341</v>
      </c>
      <c r="C262" t="s">
        <v>93</v>
      </c>
      <c r="D262" t="s">
        <v>49</v>
      </c>
      <c r="E262" t="s">
        <v>50</v>
      </c>
      <c r="F262" t="s">
        <v>50</v>
      </c>
      <c r="G262" t="s">
        <v>51</v>
      </c>
      <c r="H262" t="s">
        <v>18</v>
      </c>
      <c r="I262" t="s">
        <v>83</v>
      </c>
      <c r="J262">
        <v>13230</v>
      </c>
      <c r="K262">
        <v>17</v>
      </c>
      <c r="L262">
        <v>0.21</v>
      </c>
      <c r="M262">
        <v>1957</v>
      </c>
      <c r="N262" t="str">
        <f>TEXT(Table1[[#This Row],[Order_Date]],"mmm")</f>
        <v>Feb</v>
      </c>
      <c r="O262">
        <f>YEAR(Table1[[#This Row],[Order_Date]])</f>
        <v>2024</v>
      </c>
      <c r="P262">
        <f t="shared" si="4"/>
        <v>12121350</v>
      </c>
    </row>
    <row r="263" spans="1:16" hidden="1" x14ac:dyDescent="0.3">
      <c r="A263">
        <v>8262</v>
      </c>
      <c r="B263" s="6">
        <v>45384</v>
      </c>
      <c r="C263" t="s">
        <v>105</v>
      </c>
      <c r="D263" t="s">
        <v>26</v>
      </c>
      <c r="E263" t="s">
        <v>27</v>
      </c>
      <c r="F263" t="s">
        <v>28</v>
      </c>
      <c r="G263" t="s">
        <v>51</v>
      </c>
      <c r="H263" t="s">
        <v>22</v>
      </c>
      <c r="I263" t="s">
        <v>23</v>
      </c>
      <c r="J263">
        <v>57184</v>
      </c>
      <c r="K263">
        <v>8</v>
      </c>
      <c r="L263">
        <v>0.02</v>
      </c>
      <c r="M263">
        <v>12520</v>
      </c>
      <c r="N263" t="str">
        <f>TEXT(Table1[[#This Row],[Order_Date]],"mmm")</f>
        <v>Apr</v>
      </c>
      <c r="O263">
        <f>YEAR(Table1[[#This Row],[Order_Date]])</f>
        <v>2024</v>
      </c>
      <c r="P263">
        <f t="shared" si="4"/>
        <v>12121350</v>
      </c>
    </row>
    <row r="264" spans="1:16" hidden="1" x14ac:dyDescent="0.3">
      <c r="A264">
        <v>8263</v>
      </c>
      <c r="B264" s="6">
        <v>45380</v>
      </c>
      <c r="C264" t="s">
        <v>108</v>
      </c>
      <c r="D264" t="s">
        <v>14</v>
      </c>
      <c r="E264" t="s">
        <v>42</v>
      </c>
      <c r="F264" t="s">
        <v>43</v>
      </c>
      <c r="G264" t="s">
        <v>17</v>
      </c>
      <c r="H264" t="s">
        <v>18</v>
      </c>
      <c r="I264" t="s">
        <v>19</v>
      </c>
      <c r="J264">
        <v>35244</v>
      </c>
      <c r="K264">
        <v>6</v>
      </c>
      <c r="L264">
        <v>0.28999999999999998</v>
      </c>
      <c r="M264">
        <v>1857</v>
      </c>
      <c r="N264" t="str">
        <f>TEXT(Table1[[#This Row],[Order_Date]],"mmm")</f>
        <v>Mar</v>
      </c>
      <c r="O264">
        <f>YEAR(Table1[[#This Row],[Order_Date]])</f>
        <v>2024</v>
      </c>
      <c r="P264">
        <f t="shared" si="4"/>
        <v>12121350</v>
      </c>
    </row>
    <row r="265" spans="1:16" hidden="1" x14ac:dyDescent="0.3">
      <c r="A265">
        <v>8264</v>
      </c>
      <c r="B265" s="6">
        <v>45448</v>
      </c>
      <c r="C265" t="s">
        <v>25</v>
      </c>
      <c r="D265" t="s">
        <v>26</v>
      </c>
      <c r="E265" t="s">
        <v>70</v>
      </c>
      <c r="F265" t="s">
        <v>71</v>
      </c>
      <c r="G265" t="s">
        <v>17</v>
      </c>
      <c r="H265" t="s">
        <v>44</v>
      </c>
      <c r="I265" t="s">
        <v>47</v>
      </c>
      <c r="J265">
        <v>75970</v>
      </c>
      <c r="K265">
        <v>12</v>
      </c>
      <c r="L265">
        <v>0.11</v>
      </c>
      <c r="M265">
        <v>18647</v>
      </c>
      <c r="N265" t="str">
        <f>TEXT(Table1[[#This Row],[Order_Date]],"mmm")</f>
        <v>Jun</v>
      </c>
      <c r="O265">
        <f>YEAR(Table1[[#This Row],[Order_Date]])</f>
        <v>2024</v>
      </c>
      <c r="P265">
        <f t="shared" si="4"/>
        <v>12121350</v>
      </c>
    </row>
    <row r="266" spans="1:16" hidden="1" x14ac:dyDescent="0.3">
      <c r="A266">
        <v>8265</v>
      </c>
      <c r="B266" s="6">
        <v>45351</v>
      </c>
      <c r="C266" t="s">
        <v>149</v>
      </c>
      <c r="D266" t="s">
        <v>49</v>
      </c>
      <c r="E266" t="s">
        <v>50</v>
      </c>
      <c r="F266" t="s">
        <v>50</v>
      </c>
      <c r="G266" t="s">
        <v>30</v>
      </c>
      <c r="H266" t="s">
        <v>18</v>
      </c>
      <c r="I266" t="s">
        <v>83</v>
      </c>
      <c r="J266">
        <v>22105</v>
      </c>
      <c r="K266">
        <v>14</v>
      </c>
      <c r="L266">
        <v>0.06</v>
      </c>
      <c r="M266">
        <v>4678</v>
      </c>
      <c r="N266" t="str">
        <f>TEXT(Table1[[#This Row],[Order_Date]],"mmm")</f>
        <v>Feb</v>
      </c>
      <c r="O266">
        <f>YEAR(Table1[[#This Row],[Order_Date]])</f>
        <v>2024</v>
      </c>
      <c r="P266">
        <f t="shared" si="4"/>
        <v>12121350</v>
      </c>
    </row>
    <row r="267" spans="1:16" x14ac:dyDescent="0.3">
      <c r="A267">
        <v>8266</v>
      </c>
      <c r="B267" s="6">
        <v>45331</v>
      </c>
      <c r="C267" t="s">
        <v>152</v>
      </c>
      <c r="D267" t="s">
        <v>26</v>
      </c>
      <c r="E267" t="s">
        <v>70</v>
      </c>
      <c r="F267" t="s">
        <v>71</v>
      </c>
      <c r="G267" t="s">
        <v>30</v>
      </c>
      <c r="H267" t="s">
        <v>22</v>
      </c>
      <c r="I267" t="s">
        <v>23</v>
      </c>
      <c r="J267">
        <v>53888</v>
      </c>
      <c r="K267">
        <v>3</v>
      </c>
      <c r="L267">
        <v>0.18</v>
      </c>
      <c r="M267">
        <v>11598</v>
      </c>
      <c r="N267" t="str">
        <f>TEXT(Table1[[#This Row],[Order_Date]],"mmm")</f>
        <v>Feb</v>
      </c>
      <c r="O267">
        <f>YEAR(Table1[[#This Row],[Order_Date]])</f>
        <v>2024</v>
      </c>
      <c r="P267">
        <f t="shared" si="4"/>
        <v>12121350</v>
      </c>
    </row>
    <row r="268" spans="1:16" hidden="1" x14ac:dyDescent="0.3">
      <c r="A268">
        <v>8267</v>
      </c>
      <c r="B268" s="6">
        <v>45405</v>
      </c>
      <c r="C268" t="s">
        <v>157</v>
      </c>
      <c r="D268" t="s">
        <v>14</v>
      </c>
      <c r="E268" t="s">
        <v>42</v>
      </c>
      <c r="F268" t="s">
        <v>43</v>
      </c>
      <c r="G268" t="s">
        <v>17</v>
      </c>
      <c r="H268" t="s">
        <v>18</v>
      </c>
      <c r="I268" t="s">
        <v>19</v>
      </c>
      <c r="J268">
        <v>35346</v>
      </c>
      <c r="K268">
        <v>5</v>
      </c>
      <c r="L268">
        <v>0.16</v>
      </c>
      <c r="M268">
        <v>2832</v>
      </c>
      <c r="N268" t="str">
        <f>TEXT(Table1[[#This Row],[Order_Date]],"mmm")</f>
        <v>Apr</v>
      </c>
      <c r="O268">
        <f>YEAR(Table1[[#This Row],[Order_Date]])</f>
        <v>2024</v>
      </c>
      <c r="P268">
        <f t="shared" si="4"/>
        <v>12121350</v>
      </c>
    </row>
    <row r="269" spans="1:16" hidden="1" x14ac:dyDescent="0.3">
      <c r="A269">
        <v>8268</v>
      </c>
      <c r="B269" s="6">
        <v>45330</v>
      </c>
      <c r="C269" t="s">
        <v>141</v>
      </c>
      <c r="D269" t="s">
        <v>33</v>
      </c>
      <c r="E269" t="s">
        <v>56</v>
      </c>
      <c r="F269" t="s">
        <v>57</v>
      </c>
      <c r="G269" t="s">
        <v>51</v>
      </c>
      <c r="H269" t="s">
        <v>18</v>
      </c>
      <c r="I269" t="s">
        <v>19</v>
      </c>
      <c r="J269">
        <v>29412</v>
      </c>
      <c r="K269">
        <v>10</v>
      </c>
      <c r="L269">
        <v>0.24</v>
      </c>
      <c r="M269">
        <v>2969</v>
      </c>
      <c r="N269" t="str">
        <f>TEXT(Table1[[#This Row],[Order_Date]],"mmm")</f>
        <v>Feb</v>
      </c>
      <c r="O269">
        <f>YEAR(Table1[[#This Row],[Order_Date]])</f>
        <v>2024</v>
      </c>
      <c r="P269">
        <f t="shared" si="4"/>
        <v>12121350</v>
      </c>
    </row>
    <row r="270" spans="1:16" hidden="1" x14ac:dyDescent="0.3">
      <c r="A270">
        <v>8269</v>
      </c>
      <c r="B270" s="6">
        <v>45464</v>
      </c>
      <c r="C270" t="s">
        <v>81</v>
      </c>
      <c r="D270" t="s">
        <v>33</v>
      </c>
      <c r="E270" t="s">
        <v>56</v>
      </c>
      <c r="F270" t="s">
        <v>57</v>
      </c>
      <c r="G270" t="s">
        <v>30</v>
      </c>
      <c r="H270" t="s">
        <v>22</v>
      </c>
      <c r="I270" t="s">
        <v>68</v>
      </c>
      <c r="J270">
        <v>37869</v>
      </c>
      <c r="K270">
        <v>19</v>
      </c>
      <c r="L270">
        <v>0.28000000000000003</v>
      </c>
      <c r="M270">
        <v>3061</v>
      </c>
      <c r="N270" t="str">
        <f>TEXT(Table1[[#This Row],[Order_Date]],"mmm")</f>
        <v>Jun</v>
      </c>
      <c r="O270">
        <f>YEAR(Table1[[#This Row],[Order_Date]])</f>
        <v>2024</v>
      </c>
      <c r="P270">
        <f t="shared" si="4"/>
        <v>12121350</v>
      </c>
    </row>
    <row r="271" spans="1:16" hidden="1" x14ac:dyDescent="0.3">
      <c r="A271">
        <v>8270</v>
      </c>
      <c r="B271" s="6">
        <v>45421</v>
      </c>
      <c r="C271" t="s">
        <v>38</v>
      </c>
      <c r="D271" t="s">
        <v>14</v>
      </c>
      <c r="E271" t="s">
        <v>42</v>
      </c>
      <c r="F271" t="s">
        <v>43</v>
      </c>
      <c r="G271" t="s">
        <v>30</v>
      </c>
      <c r="H271" t="s">
        <v>44</v>
      </c>
      <c r="I271" t="s">
        <v>87</v>
      </c>
      <c r="J271">
        <v>47894</v>
      </c>
      <c r="K271">
        <v>7</v>
      </c>
      <c r="L271">
        <v>0.17</v>
      </c>
      <c r="M271">
        <v>11083</v>
      </c>
      <c r="N271" t="str">
        <f>TEXT(Table1[[#This Row],[Order_Date]],"mmm")</f>
        <v>May</v>
      </c>
      <c r="O271">
        <f>YEAR(Table1[[#This Row],[Order_Date]])</f>
        <v>2024</v>
      </c>
      <c r="P271">
        <f t="shared" si="4"/>
        <v>12121350</v>
      </c>
    </row>
    <row r="272" spans="1:16" hidden="1" x14ac:dyDescent="0.3">
      <c r="A272">
        <v>8271</v>
      </c>
      <c r="B272" s="6">
        <v>45419</v>
      </c>
      <c r="C272" t="s">
        <v>162</v>
      </c>
      <c r="D272" t="s">
        <v>49</v>
      </c>
      <c r="E272" t="s">
        <v>66</v>
      </c>
      <c r="F272" t="s">
        <v>67</v>
      </c>
      <c r="G272" t="s">
        <v>51</v>
      </c>
      <c r="H272" t="s">
        <v>44</v>
      </c>
      <c r="I272" t="s">
        <v>45</v>
      </c>
      <c r="J272">
        <v>59440</v>
      </c>
      <c r="K272">
        <v>19</v>
      </c>
      <c r="L272">
        <v>0.13</v>
      </c>
      <c r="M272">
        <v>4217</v>
      </c>
      <c r="N272" t="str">
        <f>TEXT(Table1[[#This Row],[Order_Date]],"mmm")</f>
        <v>May</v>
      </c>
      <c r="O272">
        <f>YEAR(Table1[[#This Row],[Order_Date]])</f>
        <v>2024</v>
      </c>
      <c r="P272">
        <f t="shared" si="4"/>
        <v>12121350</v>
      </c>
    </row>
    <row r="273" spans="1:16" hidden="1" x14ac:dyDescent="0.3">
      <c r="A273">
        <v>8272</v>
      </c>
      <c r="B273" s="6">
        <v>45397</v>
      </c>
      <c r="C273" t="s">
        <v>161</v>
      </c>
      <c r="D273" t="s">
        <v>14</v>
      </c>
      <c r="E273" t="s">
        <v>42</v>
      </c>
      <c r="F273" t="s">
        <v>43</v>
      </c>
      <c r="G273" t="s">
        <v>17</v>
      </c>
      <c r="H273" t="s">
        <v>18</v>
      </c>
      <c r="I273" t="s">
        <v>19</v>
      </c>
      <c r="J273">
        <v>63432</v>
      </c>
      <c r="K273">
        <v>15</v>
      </c>
      <c r="L273">
        <v>0.27</v>
      </c>
      <c r="M273">
        <v>10397</v>
      </c>
      <c r="N273" t="str">
        <f>TEXT(Table1[[#This Row],[Order_Date]],"mmm")</f>
        <v>Apr</v>
      </c>
      <c r="O273">
        <f>YEAR(Table1[[#This Row],[Order_Date]])</f>
        <v>2024</v>
      </c>
      <c r="P273">
        <f t="shared" si="4"/>
        <v>12121350</v>
      </c>
    </row>
    <row r="274" spans="1:16" hidden="1" x14ac:dyDescent="0.3">
      <c r="A274">
        <v>8273</v>
      </c>
      <c r="B274" s="6">
        <v>45365</v>
      </c>
      <c r="C274" t="s">
        <v>188</v>
      </c>
      <c r="D274" t="s">
        <v>26</v>
      </c>
      <c r="E274" t="s">
        <v>27</v>
      </c>
      <c r="F274" t="s">
        <v>28</v>
      </c>
      <c r="G274" t="s">
        <v>51</v>
      </c>
      <c r="H274" t="s">
        <v>18</v>
      </c>
      <c r="I274" t="s">
        <v>39</v>
      </c>
      <c r="J274">
        <v>13709</v>
      </c>
      <c r="K274">
        <v>18</v>
      </c>
      <c r="L274">
        <v>0.28999999999999998</v>
      </c>
      <c r="M274">
        <v>896</v>
      </c>
      <c r="N274" t="str">
        <f>TEXT(Table1[[#This Row],[Order_Date]],"mmm")</f>
        <v>Mar</v>
      </c>
      <c r="O274">
        <f>YEAR(Table1[[#This Row],[Order_Date]])</f>
        <v>2024</v>
      </c>
      <c r="P274">
        <f t="shared" si="4"/>
        <v>12121350</v>
      </c>
    </row>
    <row r="275" spans="1:16" hidden="1" x14ac:dyDescent="0.3">
      <c r="A275">
        <v>8274</v>
      </c>
      <c r="B275" s="6">
        <v>45430</v>
      </c>
      <c r="C275" t="s">
        <v>86</v>
      </c>
      <c r="D275" t="s">
        <v>26</v>
      </c>
      <c r="E275" t="s">
        <v>70</v>
      </c>
      <c r="F275" t="s">
        <v>71</v>
      </c>
      <c r="G275" t="s">
        <v>51</v>
      </c>
      <c r="H275" t="s">
        <v>44</v>
      </c>
      <c r="I275" t="s">
        <v>45</v>
      </c>
      <c r="J275">
        <v>37309</v>
      </c>
      <c r="K275">
        <v>14</v>
      </c>
      <c r="L275">
        <v>0.21</v>
      </c>
      <c r="M275">
        <v>7813</v>
      </c>
      <c r="N275" t="str">
        <f>TEXT(Table1[[#This Row],[Order_Date]],"mmm")</f>
        <v>May</v>
      </c>
      <c r="O275">
        <f>YEAR(Table1[[#This Row],[Order_Date]])</f>
        <v>2024</v>
      </c>
      <c r="P275">
        <f t="shared" si="4"/>
        <v>12121350</v>
      </c>
    </row>
    <row r="276" spans="1:16" hidden="1" x14ac:dyDescent="0.3">
      <c r="A276">
        <v>8275</v>
      </c>
      <c r="B276" s="6">
        <v>45463</v>
      </c>
      <c r="C276" t="s">
        <v>114</v>
      </c>
      <c r="D276" t="s">
        <v>33</v>
      </c>
      <c r="E276" t="s">
        <v>34</v>
      </c>
      <c r="F276" t="s">
        <v>35</v>
      </c>
      <c r="G276" t="s">
        <v>51</v>
      </c>
      <c r="H276" t="s">
        <v>44</v>
      </c>
      <c r="I276" t="s">
        <v>45</v>
      </c>
      <c r="J276">
        <v>40898</v>
      </c>
      <c r="K276">
        <v>7</v>
      </c>
      <c r="L276">
        <v>0.24</v>
      </c>
      <c r="M276">
        <v>7383</v>
      </c>
      <c r="N276" t="str">
        <f>TEXT(Table1[[#This Row],[Order_Date]],"mmm")</f>
        <v>Jun</v>
      </c>
      <c r="O276">
        <f>YEAR(Table1[[#This Row],[Order_Date]])</f>
        <v>2024</v>
      </c>
      <c r="P276">
        <f t="shared" si="4"/>
        <v>12121350</v>
      </c>
    </row>
    <row r="277" spans="1:16" hidden="1" x14ac:dyDescent="0.3">
      <c r="A277">
        <v>8276</v>
      </c>
      <c r="B277" s="6">
        <v>45399</v>
      </c>
      <c r="C277" t="s">
        <v>32</v>
      </c>
      <c r="D277" t="s">
        <v>33</v>
      </c>
      <c r="E277" t="s">
        <v>56</v>
      </c>
      <c r="F277" t="s">
        <v>57</v>
      </c>
      <c r="G277" t="s">
        <v>51</v>
      </c>
      <c r="H277" t="s">
        <v>44</v>
      </c>
      <c r="I277" t="s">
        <v>87</v>
      </c>
      <c r="J277">
        <v>32238</v>
      </c>
      <c r="K277">
        <v>10</v>
      </c>
      <c r="L277">
        <v>0.16</v>
      </c>
      <c r="M277">
        <v>5358</v>
      </c>
      <c r="N277" t="str">
        <f>TEXT(Table1[[#This Row],[Order_Date]],"mmm")</f>
        <v>Apr</v>
      </c>
      <c r="O277">
        <f>YEAR(Table1[[#This Row],[Order_Date]])</f>
        <v>2024</v>
      </c>
      <c r="P277">
        <f t="shared" si="4"/>
        <v>12121350</v>
      </c>
    </row>
    <row r="278" spans="1:16" hidden="1" x14ac:dyDescent="0.3">
      <c r="A278">
        <v>8277</v>
      </c>
      <c r="B278" s="6">
        <v>45342</v>
      </c>
      <c r="C278" t="s">
        <v>182</v>
      </c>
      <c r="D278" t="s">
        <v>49</v>
      </c>
      <c r="E278" t="s">
        <v>50</v>
      </c>
      <c r="F278" t="s">
        <v>50</v>
      </c>
      <c r="G278" t="s">
        <v>30</v>
      </c>
      <c r="H278" t="s">
        <v>18</v>
      </c>
      <c r="I278" t="s">
        <v>83</v>
      </c>
      <c r="J278">
        <v>49744</v>
      </c>
      <c r="K278">
        <v>6</v>
      </c>
      <c r="L278">
        <v>0.14000000000000001</v>
      </c>
      <c r="M278">
        <v>11009</v>
      </c>
      <c r="N278" t="str">
        <f>TEXT(Table1[[#This Row],[Order_Date]],"mmm")</f>
        <v>Feb</v>
      </c>
      <c r="O278">
        <f>YEAR(Table1[[#This Row],[Order_Date]])</f>
        <v>2024</v>
      </c>
      <c r="P278">
        <f t="shared" si="4"/>
        <v>12121350</v>
      </c>
    </row>
    <row r="279" spans="1:16" hidden="1" x14ac:dyDescent="0.3">
      <c r="A279">
        <v>8278</v>
      </c>
      <c r="B279" s="6">
        <v>45382</v>
      </c>
      <c r="C279" t="s">
        <v>148</v>
      </c>
      <c r="D279" t="s">
        <v>14</v>
      </c>
      <c r="E279" t="s">
        <v>42</v>
      </c>
      <c r="F279" t="s">
        <v>43</v>
      </c>
      <c r="G279" t="s">
        <v>30</v>
      </c>
      <c r="H279" t="s">
        <v>22</v>
      </c>
      <c r="I279" t="s">
        <v>23</v>
      </c>
      <c r="J279">
        <v>71390</v>
      </c>
      <c r="K279">
        <v>10</v>
      </c>
      <c r="L279">
        <v>0.19</v>
      </c>
      <c r="M279">
        <v>7744</v>
      </c>
      <c r="N279" t="str">
        <f>TEXT(Table1[[#This Row],[Order_Date]],"mmm")</f>
        <v>Mar</v>
      </c>
      <c r="O279">
        <f>YEAR(Table1[[#This Row],[Order_Date]])</f>
        <v>2024</v>
      </c>
      <c r="P279">
        <f t="shared" si="4"/>
        <v>12121350</v>
      </c>
    </row>
    <row r="280" spans="1:16" hidden="1" x14ac:dyDescent="0.3">
      <c r="A280">
        <v>8279</v>
      </c>
      <c r="B280" s="6">
        <v>45341</v>
      </c>
      <c r="C280" t="s">
        <v>93</v>
      </c>
      <c r="D280" t="s">
        <v>49</v>
      </c>
      <c r="E280" t="s">
        <v>50</v>
      </c>
      <c r="F280" t="s">
        <v>50</v>
      </c>
      <c r="G280" t="s">
        <v>51</v>
      </c>
      <c r="H280" t="s">
        <v>18</v>
      </c>
      <c r="I280" t="s">
        <v>19</v>
      </c>
      <c r="J280">
        <v>35986</v>
      </c>
      <c r="K280">
        <v>13</v>
      </c>
      <c r="L280">
        <v>0.12</v>
      </c>
      <c r="M280">
        <v>6513</v>
      </c>
      <c r="N280" t="str">
        <f>TEXT(Table1[[#This Row],[Order_Date]],"mmm")</f>
        <v>Feb</v>
      </c>
      <c r="O280">
        <f>YEAR(Table1[[#This Row],[Order_Date]])</f>
        <v>2024</v>
      </c>
      <c r="P280">
        <f t="shared" si="4"/>
        <v>12121350</v>
      </c>
    </row>
    <row r="281" spans="1:16" hidden="1" x14ac:dyDescent="0.3">
      <c r="A281">
        <v>8280</v>
      </c>
      <c r="B281" s="6">
        <v>45387</v>
      </c>
      <c r="C281" t="s">
        <v>73</v>
      </c>
      <c r="D281" t="s">
        <v>14</v>
      </c>
      <c r="E281" t="s">
        <v>42</v>
      </c>
      <c r="F281" t="s">
        <v>43</v>
      </c>
      <c r="G281" t="s">
        <v>30</v>
      </c>
      <c r="H281" t="s">
        <v>18</v>
      </c>
      <c r="I281" t="s">
        <v>39</v>
      </c>
      <c r="J281">
        <v>74089</v>
      </c>
      <c r="K281">
        <v>11</v>
      </c>
      <c r="L281">
        <v>7.0000000000000007E-2</v>
      </c>
      <c r="M281">
        <v>7759</v>
      </c>
      <c r="N281" t="str">
        <f>TEXT(Table1[[#This Row],[Order_Date]],"mmm")</f>
        <v>Apr</v>
      </c>
      <c r="O281">
        <f>YEAR(Table1[[#This Row],[Order_Date]])</f>
        <v>2024</v>
      </c>
      <c r="P281">
        <f t="shared" si="4"/>
        <v>12121350</v>
      </c>
    </row>
    <row r="282" spans="1:16" hidden="1" x14ac:dyDescent="0.3">
      <c r="A282">
        <v>8281</v>
      </c>
      <c r="B282" s="6">
        <v>45463</v>
      </c>
      <c r="C282" t="s">
        <v>55</v>
      </c>
      <c r="D282" t="s">
        <v>26</v>
      </c>
      <c r="E282" t="s">
        <v>70</v>
      </c>
      <c r="F282" t="s">
        <v>71</v>
      </c>
      <c r="G282" t="s">
        <v>51</v>
      </c>
      <c r="H282" t="s">
        <v>44</v>
      </c>
      <c r="I282" t="s">
        <v>87</v>
      </c>
      <c r="J282">
        <v>68155</v>
      </c>
      <c r="K282">
        <v>11</v>
      </c>
      <c r="L282">
        <v>0.01</v>
      </c>
      <c r="M282">
        <v>15591</v>
      </c>
      <c r="N282" t="str">
        <f>TEXT(Table1[[#This Row],[Order_Date]],"mmm")</f>
        <v>Jun</v>
      </c>
      <c r="O282">
        <f>YEAR(Table1[[#This Row],[Order_Date]])</f>
        <v>2024</v>
      </c>
      <c r="P282">
        <f t="shared" si="4"/>
        <v>12121350</v>
      </c>
    </row>
    <row r="283" spans="1:16" hidden="1" x14ac:dyDescent="0.3">
      <c r="A283">
        <v>8282</v>
      </c>
      <c r="B283" s="6">
        <v>45350</v>
      </c>
      <c r="C283" t="s">
        <v>149</v>
      </c>
      <c r="D283" t="s">
        <v>14</v>
      </c>
      <c r="E283" t="s">
        <v>15</v>
      </c>
      <c r="F283" t="s">
        <v>16</v>
      </c>
      <c r="G283" t="s">
        <v>17</v>
      </c>
      <c r="H283" t="s">
        <v>22</v>
      </c>
      <c r="I283" t="s">
        <v>68</v>
      </c>
      <c r="J283">
        <v>63009</v>
      </c>
      <c r="K283">
        <v>12</v>
      </c>
      <c r="L283">
        <v>0.08</v>
      </c>
      <c r="M283">
        <v>4279</v>
      </c>
      <c r="N283" t="str">
        <f>TEXT(Table1[[#This Row],[Order_Date]],"mmm")</f>
        <v>Feb</v>
      </c>
      <c r="O283">
        <f>YEAR(Table1[[#This Row],[Order_Date]])</f>
        <v>2024</v>
      </c>
      <c r="P283">
        <f t="shared" si="4"/>
        <v>12121350</v>
      </c>
    </row>
    <row r="284" spans="1:16" hidden="1" x14ac:dyDescent="0.3">
      <c r="A284">
        <v>8283</v>
      </c>
      <c r="B284" s="6">
        <v>45315</v>
      </c>
      <c r="C284" t="s">
        <v>84</v>
      </c>
      <c r="D284" t="s">
        <v>33</v>
      </c>
      <c r="E284" t="s">
        <v>56</v>
      </c>
      <c r="F284" t="s">
        <v>57</v>
      </c>
      <c r="G284" t="s">
        <v>17</v>
      </c>
      <c r="H284" t="s">
        <v>22</v>
      </c>
      <c r="I284" t="s">
        <v>23</v>
      </c>
      <c r="J284">
        <v>14663</v>
      </c>
      <c r="K284">
        <v>3</v>
      </c>
      <c r="L284">
        <v>0.12</v>
      </c>
      <c r="M284">
        <v>2713</v>
      </c>
      <c r="N284" t="str">
        <f>TEXT(Table1[[#This Row],[Order_Date]],"mmm")</f>
        <v>Jan</v>
      </c>
      <c r="O284">
        <f>YEAR(Table1[[#This Row],[Order_Date]])</f>
        <v>2024</v>
      </c>
      <c r="P284">
        <f t="shared" si="4"/>
        <v>12121350</v>
      </c>
    </row>
    <row r="285" spans="1:16" hidden="1" x14ac:dyDescent="0.3">
      <c r="A285">
        <v>8284</v>
      </c>
      <c r="B285" s="6">
        <v>45471</v>
      </c>
      <c r="C285" t="s">
        <v>189</v>
      </c>
      <c r="D285" t="s">
        <v>49</v>
      </c>
      <c r="E285" t="s">
        <v>66</v>
      </c>
      <c r="F285" t="s">
        <v>67</v>
      </c>
      <c r="G285" t="s">
        <v>17</v>
      </c>
      <c r="H285" t="s">
        <v>22</v>
      </c>
      <c r="I285" t="s">
        <v>36</v>
      </c>
      <c r="J285">
        <v>46441</v>
      </c>
      <c r="K285">
        <v>5</v>
      </c>
      <c r="L285">
        <v>0.02</v>
      </c>
      <c r="M285">
        <v>8560</v>
      </c>
      <c r="N285" t="str">
        <f>TEXT(Table1[[#This Row],[Order_Date]],"mmm")</f>
        <v>Jun</v>
      </c>
      <c r="O285">
        <f>YEAR(Table1[[#This Row],[Order_Date]])</f>
        <v>2024</v>
      </c>
      <c r="P285">
        <f t="shared" si="4"/>
        <v>12121350</v>
      </c>
    </row>
    <row r="286" spans="1:16" hidden="1" x14ac:dyDescent="0.3">
      <c r="A286">
        <v>8285</v>
      </c>
      <c r="B286" s="6">
        <v>45409</v>
      </c>
      <c r="C286" t="s">
        <v>69</v>
      </c>
      <c r="D286" t="s">
        <v>26</v>
      </c>
      <c r="E286" t="s">
        <v>70</v>
      </c>
      <c r="F286" t="s">
        <v>71</v>
      </c>
      <c r="G286" t="s">
        <v>17</v>
      </c>
      <c r="H286" t="s">
        <v>18</v>
      </c>
      <c r="I286" t="s">
        <v>19</v>
      </c>
      <c r="J286">
        <v>41558</v>
      </c>
      <c r="K286">
        <v>15</v>
      </c>
      <c r="L286">
        <v>0.24</v>
      </c>
      <c r="M286">
        <v>3154</v>
      </c>
      <c r="N286" t="str">
        <f>TEXT(Table1[[#This Row],[Order_Date]],"mmm")</f>
        <v>Apr</v>
      </c>
      <c r="O286">
        <f>YEAR(Table1[[#This Row],[Order_Date]])</f>
        <v>2024</v>
      </c>
      <c r="P286">
        <f t="shared" si="4"/>
        <v>12121350</v>
      </c>
    </row>
    <row r="287" spans="1:16" hidden="1" x14ac:dyDescent="0.3">
      <c r="A287">
        <v>8286</v>
      </c>
      <c r="B287" s="6">
        <v>45367</v>
      </c>
      <c r="C287" t="s">
        <v>58</v>
      </c>
      <c r="D287" t="s">
        <v>14</v>
      </c>
      <c r="E287" t="s">
        <v>15</v>
      </c>
      <c r="F287" t="s">
        <v>16</v>
      </c>
      <c r="G287" t="s">
        <v>51</v>
      </c>
      <c r="H287" t="s">
        <v>22</v>
      </c>
      <c r="I287" t="s">
        <v>36</v>
      </c>
      <c r="J287">
        <v>31067</v>
      </c>
      <c r="K287">
        <v>2</v>
      </c>
      <c r="L287">
        <v>0.11</v>
      </c>
      <c r="M287">
        <v>2858</v>
      </c>
      <c r="N287" t="str">
        <f>TEXT(Table1[[#This Row],[Order_Date]],"mmm")</f>
        <v>Mar</v>
      </c>
      <c r="O287">
        <f>YEAR(Table1[[#This Row],[Order_Date]])</f>
        <v>2024</v>
      </c>
      <c r="P287">
        <f t="shared" si="4"/>
        <v>12121350</v>
      </c>
    </row>
    <row r="288" spans="1:16" hidden="1" x14ac:dyDescent="0.3">
      <c r="A288">
        <v>8287</v>
      </c>
      <c r="B288" s="6">
        <v>45428</v>
      </c>
      <c r="C288" t="s">
        <v>172</v>
      </c>
      <c r="D288" t="s">
        <v>49</v>
      </c>
      <c r="E288" t="s">
        <v>50</v>
      </c>
      <c r="F288" t="s">
        <v>50</v>
      </c>
      <c r="G288" t="s">
        <v>51</v>
      </c>
      <c r="H288" t="s">
        <v>18</v>
      </c>
      <c r="I288" t="s">
        <v>19</v>
      </c>
      <c r="J288">
        <v>15350</v>
      </c>
      <c r="K288">
        <v>11</v>
      </c>
      <c r="L288">
        <v>0.28000000000000003</v>
      </c>
      <c r="M288">
        <v>826</v>
      </c>
      <c r="N288" t="str">
        <f>TEXT(Table1[[#This Row],[Order_Date]],"mmm")</f>
        <v>May</v>
      </c>
      <c r="O288">
        <f>YEAR(Table1[[#This Row],[Order_Date]])</f>
        <v>2024</v>
      </c>
      <c r="P288">
        <f t="shared" si="4"/>
        <v>12121350</v>
      </c>
    </row>
    <row r="289" spans="1:16" hidden="1" x14ac:dyDescent="0.3">
      <c r="A289">
        <v>8288</v>
      </c>
      <c r="B289" s="6">
        <v>45369</v>
      </c>
      <c r="C289" t="s">
        <v>13</v>
      </c>
      <c r="D289" t="s">
        <v>26</v>
      </c>
      <c r="E289" t="s">
        <v>27</v>
      </c>
      <c r="F289" t="s">
        <v>28</v>
      </c>
      <c r="G289" t="s">
        <v>17</v>
      </c>
      <c r="H289" t="s">
        <v>22</v>
      </c>
      <c r="I289" t="s">
        <v>68</v>
      </c>
      <c r="J289">
        <v>55613</v>
      </c>
      <c r="K289">
        <v>20</v>
      </c>
      <c r="L289">
        <v>0.05</v>
      </c>
      <c r="M289">
        <v>8037</v>
      </c>
      <c r="N289" t="str">
        <f>TEXT(Table1[[#This Row],[Order_Date]],"mmm")</f>
        <v>Mar</v>
      </c>
      <c r="O289">
        <f>YEAR(Table1[[#This Row],[Order_Date]])</f>
        <v>2024</v>
      </c>
      <c r="P289">
        <f t="shared" si="4"/>
        <v>12121350</v>
      </c>
    </row>
    <row r="290" spans="1:16" hidden="1" x14ac:dyDescent="0.3">
      <c r="A290">
        <v>8289</v>
      </c>
      <c r="B290" s="6">
        <v>45440</v>
      </c>
      <c r="C290" t="s">
        <v>24</v>
      </c>
      <c r="D290" t="s">
        <v>49</v>
      </c>
      <c r="E290" t="s">
        <v>50</v>
      </c>
      <c r="F290" t="s">
        <v>50</v>
      </c>
      <c r="G290" t="s">
        <v>17</v>
      </c>
      <c r="H290" t="s">
        <v>18</v>
      </c>
      <c r="I290" t="s">
        <v>83</v>
      </c>
      <c r="J290">
        <v>20662</v>
      </c>
      <c r="K290">
        <v>8</v>
      </c>
      <c r="L290">
        <v>0.05</v>
      </c>
      <c r="M290">
        <v>1886</v>
      </c>
      <c r="N290" t="str">
        <f>TEXT(Table1[[#This Row],[Order_Date]],"mmm")</f>
        <v>May</v>
      </c>
      <c r="O290">
        <f>YEAR(Table1[[#This Row],[Order_Date]])</f>
        <v>2024</v>
      </c>
      <c r="P290">
        <f t="shared" si="4"/>
        <v>12121350</v>
      </c>
    </row>
    <row r="291" spans="1:16" hidden="1" x14ac:dyDescent="0.3">
      <c r="A291">
        <v>8290</v>
      </c>
      <c r="B291" s="6">
        <v>45459</v>
      </c>
      <c r="C291" t="s">
        <v>54</v>
      </c>
      <c r="D291" t="s">
        <v>26</v>
      </c>
      <c r="E291" t="s">
        <v>27</v>
      </c>
      <c r="F291" t="s">
        <v>28</v>
      </c>
      <c r="G291" t="s">
        <v>51</v>
      </c>
      <c r="H291" t="s">
        <v>22</v>
      </c>
      <c r="I291" t="s">
        <v>36</v>
      </c>
      <c r="J291">
        <v>23008</v>
      </c>
      <c r="K291">
        <v>20</v>
      </c>
      <c r="L291">
        <v>0.25</v>
      </c>
      <c r="M291">
        <v>2223</v>
      </c>
      <c r="N291" t="str">
        <f>TEXT(Table1[[#This Row],[Order_Date]],"mmm")</f>
        <v>Jun</v>
      </c>
      <c r="O291">
        <f>YEAR(Table1[[#This Row],[Order_Date]])</f>
        <v>2024</v>
      </c>
      <c r="P291">
        <f t="shared" si="4"/>
        <v>12121350</v>
      </c>
    </row>
    <row r="292" spans="1:16" hidden="1" x14ac:dyDescent="0.3">
      <c r="A292">
        <v>8291</v>
      </c>
      <c r="B292" s="6">
        <v>45310</v>
      </c>
      <c r="C292" t="s">
        <v>180</v>
      </c>
      <c r="D292" t="s">
        <v>33</v>
      </c>
      <c r="E292" t="s">
        <v>34</v>
      </c>
      <c r="F292" t="s">
        <v>35</v>
      </c>
      <c r="G292" t="s">
        <v>17</v>
      </c>
      <c r="H292" t="s">
        <v>44</v>
      </c>
      <c r="I292" t="s">
        <v>47</v>
      </c>
      <c r="J292">
        <v>73477</v>
      </c>
      <c r="K292">
        <v>3</v>
      </c>
      <c r="L292">
        <v>0.03</v>
      </c>
      <c r="M292">
        <v>14425</v>
      </c>
      <c r="N292" t="str">
        <f>TEXT(Table1[[#This Row],[Order_Date]],"mmm")</f>
        <v>Jan</v>
      </c>
      <c r="O292">
        <f>YEAR(Table1[[#This Row],[Order_Date]])</f>
        <v>2024</v>
      </c>
      <c r="P292">
        <f t="shared" si="4"/>
        <v>12121350</v>
      </c>
    </row>
    <row r="293" spans="1:16" hidden="1" x14ac:dyDescent="0.3">
      <c r="A293">
        <v>8292</v>
      </c>
      <c r="B293" s="6">
        <v>45448</v>
      </c>
      <c r="C293" t="s">
        <v>130</v>
      </c>
      <c r="D293" t="s">
        <v>14</v>
      </c>
      <c r="E293" t="s">
        <v>15</v>
      </c>
      <c r="F293" t="s">
        <v>16</v>
      </c>
      <c r="G293" t="s">
        <v>17</v>
      </c>
      <c r="H293" t="s">
        <v>22</v>
      </c>
      <c r="I293" t="s">
        <v>68</v>
      </c>
      <c r="J293">
        <v>43762</v>
      </c>
      <c r="K293">
        <v>7</v>
      </c>
      <c r="L293">
        <v>0.28999999999999998</v>
      </c>
      <c r="M293">
        <v>8021</v>
      </c>
      <c r="N293" t="str">
        <f>TEXT(Table1[[#This Row],[Order_Date]],"mmm")</f>
        <v>Jun</v>
      </c>
      <c r="O293">
        <f>YEAR(Table1[[#This Row],[Order_Date]])</f>
        <v>2024</v>
      </c>
      <c r="P293">
        <f t="shared" si="4"/>
        <v>12121350</v>
      </c>
    </row>
    <row r="294" spans="1:16" hidden="1" x14ac:dyDescent="0.3">
      <c r="A294">
        <v>8293</v>
      </c>
      <c r="B294" s="6">
        <v>45441</v>
      </c>
      <c r="C294" t="s">
        <v>52</v>
      </c>
      <c r="D294" t="s">
        <v>26</v>
      </c>
      <c r="E294" t="s">
        <v>70</v>
      </c>
      <c r="F294" t="s">
        <v>71</v>
      </c>
      <c r="G294" t="s">
        <v>17</v>
      </c>
      <c r="H294" t="s">
        <v>44</v>
      </c>
      <c r="I294" t="s">
        <v>87</v>
      </c>
      <c r="J294">
        <v>20188</v>
      </c>
      <c r="K294">
        <v>2</v>
      </c>
      <c r="L294">
        <v>0.19</v>
      </c>
      <c r="M294">
        <v>3672</v>
      </c>
      <c r="N294" t="str">
        <f>TEXT(Table1[[#This Row],[Order_Date]],"mmm")</f>
        <v>May</v>
      </c>
      <c r="O294">
        <f>YEAR(Table1[[#This Row],[Order_Date]])</f>
        <v>2024</v>
      </c>
      <c r="P294">
        <f t="shared" si="4"/>
        <v>12121350</v>
      </c>
    </row>
    <row r="295" spans="1:16" hidden="1" x14ac:dyDescent="0.3">
      <c r="A295">
        <v>8294</v>
      </c>
      <c r="B295" s="6">
        <v>45406</v>
      </c>
      <c r="C295" t="s">
        <v>69</v>
      </c>
      <c r="D295" t="s">
        <v>49</v>
      </c>
      <c r="E295" t="s">
        <v>50</v>
      </c>
      <c r="F295" t="s">
        <v>50</v>
      </c>
      <c r="G295" t="s">
        <v>30</v>
      </c>
      <c r="H295" t="s">
        <v>22</v>
      </c>
      <c r="I295" t="s">
        <v>23</v>
      </c>
      <c r="J295">
        <v>64877</v>
      </c>
      <c r="K295">
        <v>11</v>
      </c>
      <c r="L295">
        <v>0.02</v>
      </c>
      <c r="M295">
        <v>10425</v>
      </c>
      <c r="N295" t="str">
        <f>TEXT(Table1[[#This Row],[Order_Date]],"mmm")</f>
        <v>Apr</v>
      </c>
      <c r="O295">
        <f>YEAR(Table1[[#This Row],[Order_Date]])</f>
        <v>2024</v>
      </c>
      <c r="P295">
        <f t="shared" si="4"/>
        <v>12121350</v>
      </c>
    </row>
    <row r="296" spans="1:16" hidden="1" x14ac:dyDescent="0.3">
      <c r="A296">
        <v>8295</v>
      </c>
      <c r="B296" s="6">
        <v>45301</v>
      </c>
      <c r="C296" t="s">
        <v>164</v>
      </c>
      <c r="D296" t="s">
        <v>33</v>
      </c>
      <c r="E296" t="s">
        <v>34</v>
      </c>
      <c r="F296" t="s">
        <v>35</v>
      </c>
      <c r="G296" t="s">
        <v>30</v>
      </c>
      <c r="H296" t="s">
        <v>18</v>
      </c>
      <c r="I296" t="s">
        <v>83</v>
      </c>
      <c r="J296">
        <v>59678</v>
      </c>
      <c r="K296">
        <v>6</v>
      </c>
      <c r="L296">
        <v>0.23</v>
      </c>
      <c r="M296">
        <v>7300</v>
      </c>
      <c r="N296" t="str">
        <f>TEXT(Table1[[#This Row],[Order_Date]],"mmm")</f>
        <v>Jan</v>
      </c>
      <c r="O296">
        <f>YEAR(Table1[[#This Row],[Order_Date]])</f>
        <v>2024</v>
      </c>
      <c r="P296">
        <f t="shared" si="4"/>
        <v>12121350</v>
      </c>
    </row>
    <row r="297" spans="1:16" hidden="1" x14ac:dyDescent="0.3">
      <c r="A297">
        <v>8296</v>
      </c>
      <c r="B297" s="6">
        <v>45301</v>
      </c>
      <c r="C297" t="s">
        <v>164</v>
      </c>
      <c r="D297" t="s">
        <v>14</v>
      </c>
      <c r="E297" t="s">
        <v>42</v>
      </c>
      <c r="F297" t="s">
        <v>43</v>
      </c>
      <c r="G297" t="s">
        <v>51</v>
      </c>
      <c r="H297" t="s">
        <v>22</v>
      </c>
      <c r="I297" t="s">
        <v>36</v>
      </c>
      <c r="J297">
        <v>77800</v>
      </c>
      <c r="K297">
        <v>4</v>
      </c>
      <c r="L297">
        <v>0.11</v>
      </c>
      <c r="M297">
        <v>12977</v>
      </c>
      <c r="N297" t="str">
        <f>TEXT(Table1[[#This Row],[Order_Date]],"mmm")</f>
        <v>Jan</v>
      </c>
      <c r="O297">
        <f>YEAR(Table1[[#This Row],[Order_Date]])</f>
        <v>2024</v>
      </c>
      <c r="P297">
        <f t="shared" si="4"/>
        <v>12121350</v>
      </c>
    </row>
    <row r="298" spans="1:16" hidden="1" x14ac:dyDescent="0.3">
      <c r="A298">
        <v>8297</v>
      </c>
      <c r="B298" s="6">
        <v>45459</v>
      </c>
      <c r="C298" t="s">
        <v>55</v>
      </c>
      <c r="D298" t="s">
        <v>49</v>
      </c>
      <c r="E298" t="s">
        <v>50</v>
      </c>
      <c r="F298" t="s">
        <v>50</v>
      </c>
      <c r="G298" t="s">
        <v>17</v>
      </c>
      <c r="H298" t="s">
        <v>18</v>
      </c>
      <c r="I298" t="s">
        <v>39</v>
      </c>
      <c r="J298">
        <v>2675</v>
      </c>
      <c r="K298">
        <v>20</v>
      </c>
      <c r="L298">
        <v>0.27</v>
      </c>
      <c r="M298">
        <v>209</v>
      </c>
      <c r="N298" t="str">
        <f>TEXT(Table1[[#This Row],[Order_Date]],"mmm")</f>
        <v>Jun</v>
      </c>
      <c r="O298">
        <f>YEAR(Table1[[#This Row],[Order_Date]])</f>
        <v>2024</v>
      </c>
      <c r="P298">
        <f t="shared" si="4"/>
        <v>12121350</v>
      </c>
    </row>
    <row r="299" spans="1:16" hidden="1" x14ac:dyDescent="0.3">
      <c r="A299">
        <v>8298</v>
      </c>
      <c r="B299" s="6">
        <v>45457</v>
      </c>
      <c r="C299" t="s">
        <v>79</v>
      </c>
      <c r="D299" t="s">
        <v>33</v>
      </c>
      <c r="E299" t="s">
        <v>56</v>
      </c>
      <c r="F299" t="s">
        <v>57</v>
      </c>
      <c r="G299" t="s">
        <v>17</v>
      </c>
      <c r="H299" t="s">
        <v>22</v>
      </c>
      <c r="I299" t="s">
        <v>36</v>
      </c>
      <c r="J299">
        <v>62174</v>
      </c>
      <c r="K299">
        <v>16</v>
      </c>
      <c r="L299">
        <v>0.1</v>
      </c>
      <c r="M299">
        <v>11394</v>
      </c>
      <c r="N299" t="str">
        <f>TEXT(Table1[[#This Row],[Order_Date]],"mmm")</f>
        <v>Jun</v>
      </c>
      <c r="O299">
        <f>YEAR(Table1[[#This Row],[Order_Date]])</f>
        <v>2024</v>
      </c>
      <c r="P299">
        <f t="shared" si="4"/>
        <v>12121350</v>
      </c>
    </row>
    <row r="300" spans="1:16" hidden="1" x14ac:dyDescent="0.3">
      <c r="A300">
        <v>8299</v>
      </c>
      <c r="B300" s="6">
        <v>45450</v>
      </c>
      <c r="C300" t="s">
        <v>98</v>
      </c>
      <c r="D300" t="s">
        <v>49</v>
      </c>
      <c r="E300" t="s">
        <v>66</v>
      </c>
      <c r="F300" t="s">
        <v>67</v>
      </c>
      <c r="G300" t="s">
        <v>17</v>
      </c>
      <c r="H300" t="s">
        <v>18</v>
      </c>
      <c r="I300" t="s">
        <v>19</v>
      </c>
      <c r="J300">
        <v>10297</v>
      </c>
      <c r="K300">
        <v>11</v>
      </c>
      <c r="L300">
        <v>0.13</v>
      </c>
      <c r="M300">
        <v>1995</v>
      </c>
      <c r="N300" t="str">
        <f>TEXT(Table1[[#This Row],[Order_Date]],"mmm")</f>
        <v>Jun</v>
      </c>
      <c r="O300">
        <f>YEAR(Table1[[#This Row],[Order_Date]])</f>
        <v>2024</v>
      </c>
      <c r="P300">
        <f t="shared" si="4"/>
        <v>12121350</v>
      </c>
    </row>
    <row r="301" spans="1:16" hidden="1" x14ac:dyDescent="0.3">
      <c r="A301">
        <v>8300</v>
      </c>
      <c r="B301" s="6">
        <v>45404</v>
      </c>
      <c r="C301" t="s">
        <v>144</v>
      </c>
      <c r="D301" t="s">
        <v>14</v>
      </c>
      <c r="E301" t="s">
        <v>15</v>
      </c>
      <c r="F301" t="s">
        <v>16</v>
      </c>
      <c r="G301" t="s">
        <v>51</v>
      </c>
      <c r="H301" t="s">
        <v>18</v>
      </c>
      <c r="I301" t="s">
        <v>39</v>
      </c>
      <c r="J301">
        <v>47556</v>
      </c>
      <c r="K301">
        <v>10</v>
      </c>
      <c r="L301">
        <v>0.27</v>
      </c>
      <c r="M301">
        <v>2548</v>
      </c>
      <c r="N301" t="str">
        <f>TEXT(Table1[[#This Row],[Order_Date]],"mmm")</f>
        <v>Apr</v>
      </c>
      <c r="O301">
        <f>YEAR(Table1[[#This Row],[Order_Date]])</f>
        <v>2024</v>
      </c>
      <c r="P301">
        <f t="shared" si="4"/>
        <v>12121350</v>
      </c>
    </row>
  </sheetData>
  <autoFilter ref="Q1:R2" xr:uid="{00000000-0001-0000-0000-000000000000}"/>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Sheet14</vt:lpstr>
      <vt:lpstr>Sheet5</vt:lpstr>
      <vt:lpstr>Sheet8</vt:lpstr>
      <vt:lpstr>Sheet9</vt:lpstr>
      <vt:lpstr>Sheet12</vt:lpstr>
      <vt:lpstr>Sheet10</vt:lpstr>
      <vt:lpstr>Sheet11</vt:lpstr>
      <vt:lpstr>Sheet13</vt:lpstr>
      <vt:lpstr>Sales_Data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PRIYANSHI MAHESHWARI</cp:lastModifiedBy>
  <dcterms:created xsi:type="dcterms:W3CDTF">2026-02-04T07:04:09Z</dcterms:created>
  <dcterms:modified xsi:type="dcterms:W3CDTF">2026-05-01T16:51:08Z</dcterms:modified>
</cp:coreProperties>
</file>